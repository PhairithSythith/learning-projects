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ritzo"/>
  <workbookPr/>
  <bookViews>
    <workbookView activeTab="0" xWindow="240" yWindow="60" windowWidth="29040" windowHeight="15720" tabRatio="500"/>
  </bookViews>
  <sheets>
    <sheet name="Munka1" sheetId="1" r:id="rId4"/>
  </sheets>
  <calcPr/>
  <extLst>
    <ext uri="smNativeData">
      <pm:revision xmlns:pm="smNativeData" day="1764661632" val="1228" rev="124" revOS="4" revMin="124" revMax="0"/>
      <pm:docPrefs xmlns:pm="smNativeData" id="1764661632" fixedDigits="0" showNotice="1" showFrameBounds="1" autoChart="1" recalcOnPrint="1" recalcOnCopy="1" finalRounding="1" compatTextArt="1" tab="567" useDefinedPrintRange="1" printArea="currentSheet"/>
      <pm:compatibility xmlns:pm="smNativeData" id="1764661632" overlapCells="1"/>
      <pm:defCurrency xmlns:pm="smNativeData" id="1764661632"/>
    </ext>
  </extLst>
</workbook>
</file>

<file path=xl/sharedStrings.xml><?xml version="1.0" encoding="utf-8"?>
<sst xmlns="http://schemas.openxmlformats.org/spreadsheetml/2006/main" count="104" uniqueCount="48">
  <si>
    <t>Név</t>
  </si>
  <si>
    <t>Osztály</t>
  </si>
  <si>
    <t>Jelentkező</t>
  </si>
  <si>
    <t>Segédszámítás itt és innen  jobbra végezhető!!!!</t>
  </si>
  <si>
    <t>Morgó Olívia</t>
  </si>
  <si>
    <t>11. C</t>
  </si>
  <si>
    <t>← formázás próba</t>
  </si>
  <si>
    <t>11. A</t>
  </si>
  <si>
    <t>11. B</t>
  </si>
  <si>
    <t>Didergő Dorka</t>
  </si>
  <si>
    <t>← monogramm próba</t>
  </si>
  <si>
    <t>Mókus Marci</t>
  </si>
  <si>
    <t>11. E</t>
  </si>
  <si>
    <t>Esztergom Eszter</t>
  </si>
  <si>
    <t>11. D</t>
  </si>
  <si>
    <t>Csoda Csillag</t>
  </si>
  <si>
    <t>Piros Borostyán</t>
  </si>
  <si>
    <t>Balatoni Tündér</t>
  </si>
  <si>
    <t>Fagymanó Flóra</t>
  </si>
  <si>
    <t>Rókica Rea</t>
  </si>
  <si>
    <t>Biológus Boglárka</t>
  </si>
  <si>
    <t>Kandúr József</t>
  </si>
  <si>
    <t>Denes András</t>
  </si>
  <si>
    <t>Bábel Lajos</t>
  </si>
  <si>
    <t>Mester Márton</t>
  </si>
  <si>
    <t>Kakas Kázmér</t>
  </si>
  <si>
    <t>Hajdú Imre</t>
  </si>
  <si>
    <t>Tiszai Mica</t>
  </si>
  <si>
    <t>Acsai János</t>
  </si>
  <si>
    <t>Mátraházi Miklós</t>
  </si>
  <si>
    <t>Fischer Ildikó</t>
  </si>
  <si>
    <t>Kenderesi Kázmér</t>
  </si>
  <si>
    <t>Zöld Piroska</t>
  </si>
  <si>
    <t>Dózsa György</t>
  </si>
  <si>
    <t>Szaller Tibor</t>
  </si>
  <si>
    <t>Zápor József</t>
  </si>
  <si>
    <t>Elekes Elek</t>
  </si>
  <si>
    <t>Macskássy Timót</t>
  </si>
  <si>
    <t>Monty Péter</t>
  </si>
  <si>
    <t>Ladányi Hedvig</t>
  </si>
  <si>
    <t>Balázsi Gábor</t>
  </si>
  <si>
    <t>Szarka Imre</t>
  </si>
  <si>
    <t>Gerleházi Levente</t>
  </si>
  <si>
    <t>Cseh Miklós</t>
  </si>
  <si>
    <t>Letkési Lajos</t>
  </si>
  <si>
    <t>Kiss Zoltán</t>
  </si>
  <si>
    <t>Bombás Ede</t>
  </si>
  <si>
    <t>Csuka Sándor</t>
  </si>
</sst>
</file>

<file path=xl/styles.xml><?xml version="1.0" encoding="utf-8"?>
<styleSheet xmlns="http://schemas.openxmlformats.org/spreadsheetml/2006/main">
  <numFmts count="9">
    <numFmt numFmtId="5" formatCode="#,##0\ &quot;Ft&quot;;\-#,##0\ &quot;Ft&quot;"/>
    <numFmt numFmtId="6" formatCode="#,##0\ &quot;Ft&quot;;[Red]\-#,##0\ &quot;Ft&quot;"/>
    <numFmt numFmtId="7" formatCode="#,##0.00\ &quot;Ft&quot;;\-#,##0.00\ &quot;Ft&quot;"/>
    <numFmt numFmtId="8" formatCode="#,##0.00\ &quot;Ft&quot;;[Red]\-#,##0.00\ &quot;Ft&quot;"/>
    <numFmt numFmtId="42" formatCode="_-* #,##0\ &quot;Ft&quot;_-;\-* #,##0\ &quot;Ft&quot;_-;_-* &quot;-&quot;\ &quot;Ft&quot;_-;_-@_-"/>
    <numFmt numFmtId="41" formatCode="_-* #,##0\ _F_t_-;\-* #,##0\ _F_t_-;_-* &quot;-&quot;\ _F_t_-;_-@_-"/>
    <numFmt numFmtId="44" formatCode="_-* #,##0.00\ &quot;Ft&quot;_-;\-* #,##0.00\ &quot;Ft&quot;_-;_-* &quot;-&quot;??\ &quot;Ft&quot;_-;_-@_-"/>
    <numFmt numFmtId="43" formatCode="_-* #,##0.00\ _F_t_-;\-* #,##0.00\ _F_t_-;_-* &quot;-&quot;??\ _F_t_-;_-@_-"/>
    <numFmt numFmtId="164" formatCode="@&quot; fő&quot;"/>
  </numFmts>
  <fonts count="2">
    <font>
      <name val="Calibri"/>
      <charset val="238"/>
      <family val="2"/>
      <color rgb="FF000000"/>
      <sz val="11"/>
      <extLst>
        <ext uri="smNativeData">
          <pm:charSpec xmlns:pm="smNativeData" id="1764661632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Arial"/>
      <charset val="238"/>
      <family val="2"/>
      <color rgb="FF000000"/>
      <sz val="10"/>
      <extLst>
        <ext uri="smNativeData">
          <pm:charSpec xmlns:pm="smNativeData" id="1764661632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64661632" type="1" fgLvl="100" fgClr="00FFFFFF" bgLvl="100" bgClr="00000000"/>
          </ext>
        </extLst>
      </patternFill>
    </fill>
    <fill>
      <patternFill patternType="solid">
        <fgColor rgb="FFB5B5B5"/>
        <bgColor rgb="FFFFFFFF"/>
        <extLst>
          <ext uri="smNativeData">
            <pm:shade xmlns:pm="smNativeData" id="1764661632" type="1" fgLvl="71" fgClr="00FFFFFF" bgLvl="29" bgClr="00000000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0000"/>
        <bgColor rgb="FFFFFFFF"/>
        <extLst>
          <ext uri="smNativeData">
            <pm:shade xmlns:pm="smNativeData" id="1764661632" type="1" fgLvl="100" fgClr="00FF0000" bgLvl="0" bgClr="00000000"/>
          </ext>
        </extLst>
      </patternFill>
    </fill>
    <fill>
      <patternFill patternType="solid">
        <fgColor rgb="FFFF0000"/>
        <bgColor rgb="FFFFFFFF"/>
        <extLst>
          <ext uri="smNativeData">
            <pm:shade xmlns:pm="smNativeData" id="1764661632" type="1" fgLvl="100" fgClr="00FF0000" bgLvl="0" bgClr="00000000"/>
          </ext>
        </extLst>
      </patternFill>
    </fill>
    <fill>
      <patternFill patternType="solid">
        <fgColor rgb="FFFF0000"/>
        <bgColor rgb="FFFFFFFF"/>
        <extLst>
          <ext uri="smNativeData">
            <pm:shade xmlns:pm="smNativeData" id="1764661632" type="1" fgLvl="100" fgClr="00FF0000" bgLvl="0" bgClr="00000000"/>
          </ext>
        </extLst>
      </patternFill>
    </fill>
    <fill>
      <patternFill patternType="solid">
        <fgColor rgb="FFFF3D3D"/>
        <bgColor rgb="FFFFFFFF"/>
        <extLst>
          <ext uri="smNativeData">
            <pm:shade xmlns:pm="smNativeData" id="1764661632" type="1" fgLvl="76" fgClr="00FF0000" bgLvl="24" bgClr="00FFFFFF"/>
          </ext>
        </extLst>
      </patternFill>
    </fill>
    <fill>
      <patternFill patternType="solid">
        <fgColor rgb="FFFF3D3D"/>
        <bgColor rgb="FFFFFFFF"/>
        <extLst>
          <ext uri="smNativeData">
            <pm:shade xmlns:pm="smNativeData" id="1764661632" type="1" fgLvl="76" fgClr="00FF0000" bgLvl="24" bgClr="00FFFFFF"/>
          </ext>
        </extLst>
      </patternFill>
    </fill>
    <fill>
      <patternFill patternType="solid">
        <fgColor rgb="FFFF3D3D"/>
        <bgColor rgb="FFFFFFFF"/>
        <extLst>
          <ext uri="smNativeData">
            <pm:shade xmlns:pm="smNativeData" id="1764661632" type="1" fgLvl="76" fgClr="00FF0000" bgLvl="24" bgClr="00FFFFFF"/>
          </ext>
        </extLst>
      </patternFill>
    </fill>
    <fill>
      <patternFill patternType="solid">
        <fgColor rgb="FFFF9E9E"/>
        <bgColor rgb="FFFFFFFF"/>
        <extLst>
          <ext uri="smNativeData">
            <pm:shade xmlns:pm="smNativeData" id="1764661632" type="1" fgLvl="38" fgClr="00FF0000" bgLvl="62" bgClr="00FFFFFF"/>
          </ext>
        </extLst>
      </patternFill>
    </fill>
    <fill>
      <patternFill patternType="solid">
        <fgColor rgb="FFFF9E9E"/>
        <bgColor rgb="FFFFFFFF"/>
        <extLst>
          <ext uri="smNativeData">
            <pm:shade xmlns:pm="smNativeData" id="1764661632" type="1" fgLvl="38" fgClr="00FF0000" bgLvl="62" bgClr="00FFFFFF"/>
          </ext>
        </extLst>
      </patternFill>
    </fill>
    <fill>
      <patternFill patternType="solid">
        <fgColor rgb="FFFF9E9E"/>
        <bgColor rgb="FFFFFFFF"/>
        <extLst>
          <ext uri="smNativeData">
            <pm:shade xmlns:pm="smNativeData" id="1764661632" type="1" fgLvl="38" fgClr="00FF0000" bgLvl="62" bgClr="00FFFFFF"/>
          </ext>
        </extLst>
      </patternFill>
    </fill>
    <fill>
      <patternFill patternType="solid">
        <fgColor rgb="FFFF9E9E"/>
        <bgColor rgb="FFFFFFFF"/>
        <extLst>
          <ext uri="smNativeData">
            <pm:shade xmlns:pm="smNativeData" id="1764661632" type="1" fgLvl="38" fgClr="00FF0000" bgLvl="62" bgClr="00FFFFFF"/>
          </ext>
        </extLst>
      </patternFill>
    </fill>
    <fill>
      <patternFill patternType="none"/>
    </fill>
  </fills>
  <borders count="17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466163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466163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4661632"/>
        </ext>
      </extLst>
    </border>
    <border>
      <left style="thick">
        <color rgb="FF000000"/>
      </left>
      <right style="none">
        <color rgb="FF000000"/>
      </right>
      <top style="thick">
        <color rgb="FF000000"/>
      </top>
      <bottom style="thick">
        <color rgb="FF000000"/>
      </bottom>
      <extLst>
        <ext uri="smNativeData">
          <pm:border xmlns:pm="smNativeData" id="1764661632">
            <pm:line position="top" type="1" style="0" width="40" dist="20" width2="20" rgb="000000"/>
            <pm:line position="bottom" type="1" style="0" width="40" dist="20" width2="20" rgb="000000"/>
            <pm:line position="left" type="1" style="0" width="4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ck">
        <color rgb="FF000000"/>
      </top>
      <bottom style="thick">
        <color rgb="FF000000"/>
      </bottom>
      <extLst>
        <ext uri="smNativeData">
          <pm:border xmlns:pm="smNativeData" id="1764661632">
            <pm:line position="top" type="1" style="0" width="40" dist="20" width2="20" rgb="000000"/>
            <pm:line position="bottom" type="1" style="0" width="40" dist="20" width2="20" rgb="000000"/>
          </pm:border>
        </ext>
      </extLst>
    </border>
    <border>
      <left style="none">
        <color rgb="FF000000"/>
      </left>
      <right style="thick">
        <color rgb="FF000000"/>
      </right>
      <top style="thick">
        <color rgb="FF000000"/>
      </top>
      <bottom style="thick">
        <color rgb="FF000000"/>
      </bottom>
      <extLst>
        <ext uri="smNativeData">
          <pm:border xmlns:pm="smNativeData" id="1764661632">
            <pm:line position="top" type="1" style="0" width="40" dist="20" width2="20" rgb="000000"/>
            <pm:line position="bottom" type="1" style="0" width="40" dist="20" width2="20" rgb="000000"/>
            <pm:line position="right" type="1" style="0" width="40" dist="20" width2="20" rgb="000000"/>
          </pm:border>
        </ext>
      </extLst>
    </border>
    <border>
      <left style="thick">
        <color rgb="FF000000"/>
      </left>
      <right style="none">
        <color rgb="FF000000"/>
      </right>
      <top style="thick">
        <color rgb="FF000000"/>
      </top>
      <bottom style="thick">
        <color rgb="FF000000"/>
      </bottom>
      <extLst>
        <ext uri="smNativeData">
          <pm:border xmlns:pm="smNativeData" id="1764661632">
            <pm:line position="top" type="1" style="0" width="40" dist="20" width2="20" rgb="000000"/>
            <pm:line position="bottom" type="1" style="0" width="40" dist="20" width2="20" rgb="000000"/>
            <pm:line position="left" type="1" style="0" width="4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ck">
        <color rgb="FF000000"/>
      </top>
      <bottom style="thick">
        <color rgb="FF000000"/>
      </bottom>
      <extLst>
        <ext uri="smNativeData">
          <pm:border xmlns:pm="smNativeData" id="1764661632">
            <pm:line position="top" type="1" style="0" width="40" dist="20" width2="20" rgb="000000"/>
            <pm:line position="bottom" type="1" style="0" width="40" dist="20" width2="20" rgb="000000"/>
          </pm:border>
        </ext>
      </extLst>
    </border>
    <border>
      <left style="none">
        <color rgb="FF000000"/>
      </left>
      <right style="thick">
        <color rgb="FF000000"/>
      </right>
      <top style="thick">
        <color rgb="FF000000"/>
      </top>
      <bottom style="thick">
        <color rgb="FF000000"/>
      </bottom>
      <extLst>
        <ext uri="smNativeData">
          <pm:border xmlns:pm="smNativeData" id="1764661632">
            <pm:line position="top" type="1" style="0" width="40" dist="20" width2="20" rgb="000000"/>
            <pm:line position="bottom" type="1" style="0" width="40" dist="20" width2="20" rgb="000000"/>
            <pm:line position="right" type="1" style="0" width="40" dist="20" width2="20" rgb="000000"/>
          </pm:border>
        </ext>
      </extLst>
    </border>
    <border>
      <left style="thick">
        <color rgb="FF000000"/>
      </left>
      <right style="none">
        <color rgb="FF000000"/>
      </right>
      <top style="thick">
        <color rgb="FF000000"/>
      </top>
      <bottom style="thick">
        <color rgb="FF000000"/>
      </bottom>
      <extLst>
        <ext uri="smNativeData">
          <pm:border xmlns:pm="smNativeData" id="1764661632">
            <pm:line position="top" type="1" style="0" width="40" dist="20" width2="20" rgb="000000"/>
            <pm:line position="bottom" type="1" style="0" width="40" dist="20" width2="20" rgb="000000"/>
            <pm:line position="left" type="1" style="0" width="4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ck">
        <color rgb="FF000000"/>
      </top>
      <bottom style="thick">
        <color rgb="FF000000"/>
      </bottom>
      <extLst>
        <ext uri="smNativeData">
          <pm:border xmlns:pm="smNativeData" id="1764661632">
            <pm:line position="top" type="1" style="0" width="40" dist="20" width2="20" rgb="000000"/>
            <pm:line position="bottom" type="1" style="0" width="40" dist="20" width2="20" rgb="000000"/>
          </pm:border>
        </ext>
      </extLst>
    </border>
    <border>
      <left style="none">
        <color rgb="FF000000"/>
      </left>
      <right style="thick">
        <color rgb="FF000000"/>
      </right>
      <top style="thick">
        <color rgb="FF000000"/>
      </top>
      <bottom style="thick">
        <color rgb="FF000000"/>
      </bottom>
      <extLst>
        <ext uri="smNativeData">
          <pm:border xmlns:pm="smNativeData" id="1764661632">
            <pm:line position="top" type="1" style="0" width="40" dist="20" width2="20" rgb="000000"/>
            <pm:line position="bottom" type="1" style="0" width="40" dist="20" width2="20" rgb="000000"/>
            <pm:line position="right" type="1" style="0" width="40" dist="20" width2="20" rgb="000000"/>
          </pm:border>
        </ext>
      </extLst>
    </border>
    <border>
      <left style="thick">
        <color rgb="FF000000"/>
      </left>
      <right style="none">
        <color rgb="FF000000"/>
      </right>
      <top style="thick">
        <color rgb="FF000000"/>
      </top>
      <bottom style="thick">
        <color rgb="FF000000"/>
      </bottom>
      <extLst>
        <ext uri="smNativeData">
          <pm:border xmlns:pm="smNativeData" id="1764661632">
            <pm:line position="top" type="1" style="0" width="40" dist="20" width2="20" rgb="000000"/>
            <pm:line position="bottom" type="1" style="0" width="40" dist="20" width2="20" rgb="000000"/>
            <pm:line position="left" type="1" style="0" width="4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ck">
        <color rgb="FF000000"/>
      </top>
      <bottom style="thick">
        <color rgb="FF000000"/>
      </bottom>
      <extLst>
        <ext uri="smNativeData">
          <pm:border xmlns:pm="smNativeData" id="1764661632">
            <pm:line position="top" type="1" style="0" width="40" dist="20" width2="20" rgb="000000"/>
            <pm:line position="bottom" type="1" style="0" width="40" dist="20" width2="20" rgb="000000"/>
          </pm:border>
        </ext>
      </extLst>
    </border>
    <border>
      <left style="none">
        <color rgb="FF000000"/>
      </left>
      <right style="thick">
        <color rgb="FF000000"/>
      </right>
      <top style="thick">
        <color rgb="FF000000"/>
      </top>
      <bottom style="thick">
        <color rgb="FF000000"/>
      </bottom>
      <extLst>
        <ext uri="smNativeData">
          <pm:border xmlns:pm="smNativeData" id="1764661632">
            <pm:line position="top" type="1" style="0" width="40" dist="20" width2="20" rgb="000000"/>
            <pm:line position="bottom" type="1" style="0" width="40" dist="20" width2="20" rgb="000000"/>
            <pm:line position="right" type="1" style="0" width="4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4661632"/>
        </ext>
      </extLst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extLst>
        <ext uri="smNativeData">
          <pm:border xmlns:pm="smNativeData" id="1764661632">
            <pm:line position="top" type="1" style="0" width="40" dist="20" width2="20" rgb="000000"/>
            <pm:line position="bottom" type="1" style="0" width="40" dist="20" width2="20" rgb="000000"/>
            <pm:line position="left" type="1" style="0" width="40" dist="20" width2="20" rgb="000000"/>
            <pm:line position="right" type="1" style="0" width="40" dist="20" width2="20" rgb="000000"/>
          </pm:border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8">
    <xf numFmtId="0" fontId="0" fillId="0" borderId="0" xfId="0"/>
    <xf numFmtId="0" fontId="0" fillId="3" borderId="2" xfId="0" applyFill="1"/>
    <xf numFmtId="164" fontId="0" fillId="3" borderId="2" xfId="0" applyNumberFormat="1" applyFill="1"/>
    <xf numFmtId="0" fontId="0" fillId="0" borderId="0" xfId="0" applyAlignment="1">
      <alignment horizontal="center" vertical="center"/>
    </xf>
    <xf numFmtId="0" fontId="0" fillId="13" borderId="12" xfId="0" applyFill="1" applyBorder="1"/>
    <xf numFmtId="0" fontId="0" fillId="14" borderId="13" xfId="0" applyFill="1" applyBorder="1"/>
    <xf numFmtId="0" fontId="0" fillId="15" borderId="14" xfId="0" applyFill="1" applyBorder="1"/>
    <xf numFmtId="0" fontId="0" fillId="0" borderId="16" xfId="0" applyBorder="1"/>
  </cellXfs>
  <cellStyles count="1">
    <cellStyle name="Normal" xfId="0" builtinId="0" customBuiltin="1"/>
  </cellStyles>
  <dxfs count="13">
    <dxf>
      <font>
        <color rgb="FF000000"/>
        <extLst>
          <ext uri="smNativeData">
            <pm:charSpec xmlns:pm="smNativeData" id="1764661632" fgClr="000000" bgClr="00FF00">
              <pm:latin/>
              <pm:cs/>
              <pm:ea/>
            </pm:charSpec>
          </ext>
        </extLst>
      </font>
      <fill>
        <patternFill patternType="solid">
          <bgColor rgb="FF00FF00"/>
          <extLst>
            <ext uri="smNativeData">
              <pm:shade xmlns:pm="smNativeData" id="1764661632" type="1" fgLvl="0" fgClr="0000FF00" bgLvl="255" bgClr="0000FF00"/>
            </ext>
          </extLst>
        </patternFill>
      </fill>
    </dxf>
    <dxf/>
    <dxf>
      <font>
        <extLst>
          <ext uri="smNativeData">
            <pm:charSpec xmlns:pm="smNativeData" id="1764661632" bgClr="00FF00">
              <pm:latin/>
              <pm:cs/>
              <pm:ea/>
            </pm:charSpec>
          </ext>
        </extLst>
      </font>
      <fill>
        <patternFill patternType="solid">
          <bgColor rgb="FF00FF00"/>
          <extLst>
            <ext uri="smNativeData">
              <pm:shade xmlns:pm="smNativeData" id="1764661632" type="1" fgLvl="0" fgClr="0000FF00" bgLvl="255" bgClr="0000FF00"/>
            </ext>
          </extLst>
        </patternFill>
      </fill>
    </dxf>
    <dxf>
      <font>
        <extLst>
          <ext uri="smNativeData">
            <pm:charSpec xmlns:pm="smNativeData" id="1764661632" bgClr="00FF00">
              <pm:latin/>
              <pm:cs/>
              <pm:ea/>
            </pm:charSpec>
          </ext>
        </extLst>
      </font>
      <fill>
        <patternFill patternType="solid">
          <bgColor rgb="FF00FF00"/>
          <extLst>
            <ext uri="smNativeData">
              <pm:shade xmlns:pm="smNativeData" id="1764661632" type="1" fgLvl="0" fgClr="0000FF00" bgLvl="255" bgClr="0000FF00"/>
            </ext>
          </extLst>
        </patternFill>
      </fill>
    </dxf>
    <dxf>
      <font>
        <extLst>
          <ext uri="smNativeData">
            <pm:charSpec xmlns:pm="smNativeData" id="1764661632" bgClr="00FF00">
              <pm:latin/>
              <pm:cs/>
              <pm:ea/>
            </pm:charSpec>
          </ext>
        </extLst>
      </font>
    </dxf>
    <dxf>
      <font>
        <extLst>
          <ext uri="smNativeData">
            <pm:charSpec xmlns:pm="smNativeData" id="1764661632" bgClr="00FF00">
              <pm:latin/>
              <pm:cs/>
              <pm:ea/>
            </pm:charSpec>
          </ext>
        </extLst>
      </font>
      <fill>
        <patternFill patternType="solid">
          <bgColor rgb="FF00FF00"/>
          <extLst>
            <ext uri="smNativeData">
              <pm:shade xmlns:pm="smNativeData" id="1764661632" type="1" fgLvl="0" fgClr="0000FF00" bgLvl="255" bgClr="0000FF00"/>
            </ext>
          </extLst>
        </patternFill>
      </fill>
    </dxf>
    <dxf>
      <font>
        <extLst>
          <ext uri="smNativeData">
            <pm:charSpec xmlns:pm="smNativeData" id="1764661632" bgClr="00FF00">
              <pm:latin/>
              <pm:cs/>
              <pm:ea/>
            </pm:charSpec>
          </ext>
        </extLst>
      </font>
      <fill>
        <patternFill patternType="solid">
          <bgColor rgb="FF00FF00"/>
          <extLst>
            <ext uri="smNativeData">
              <pm:shade xmlns:pm="smNativeData" id="1764661632" type="1" fgLvl="0" fgClr="0000FF00" bgLvl="255" bgClr="0000FF00"/>
            </ext>
          </extLst>
        </patternFill>
      </fill>
    </dxf>
    <dxf/>
    <dxf>
      <font>
        <extLst>
          <ext uri="smNativeData">
            <pm:charSpec xmlns:pm="smNativeData" id="1764661632" bgClr="00FF00">
              <pm:latin/>
              <pm:cs/>
              <pm:ea/>
            </pm:charSpec>
          </ext>
        </extLst>
      </font>
      <fill>
        <patternFill patternType="solid">
          <bgColor rgb="FF00FF00"/>
          <extLst>
            <ext uri="smNativeData">
              <pm:shade xmlns:pm="smNativeData" id="1764661632" type="1" fgLvl="0" fgClr="0000FF00" bgLvl="255" bgClr="0000FF00"/>
            </ext>
          </extLst>
        </patternFill>
      </fill>
    </dxf>
    <dxf>
      <font>
        <extLst>
          <ext uri="smNativeData">
            <pm:charSpec xmlns:pm="smNativeData" id="1764661632" bgClr="00FF00">
              <pm:latin/>
              <pm:cs/>
              <pm:ea/>
            </pm:charSpec>
          </ext>
        </extLst>
      </font>
      <fill>
        <patternFill patternType="solid">
          <bgColor rgb="FF00FF00"/>
          <extLst>
            <ext uri="smNativeData">
              <pm:shade xmlns:pm="smNativeData" id="1764661632" type="1" fgLvl="0" fgClr="0000FF00" bgLvl="255" bgClr="0000FF00"/>
            </ext>
          </extLst>
        </patternFill>
      </fill>
    </dxf>
    <dxf>
      <font>
        <extLst>
          <ext uri="smNativeData">
            <pm:charSpec xmlns:pm="smNativeData" id="1764661632" bgClr="00FF00">
              <pm:latin/>
              <pm:cs/>
              <pm:ea/>
            </pm:charSpec>
          </ext>
        </extLst>
      </font>
      <fill>
        <patternFill patternType="solid">
          <bgColor rgb="FF00FF00"/>
          <extLst>
            <ext uri="smNativeData">
              <pm:shade xmlns:pm="smNativeData" id="1764661632" type="1" fgLvl="0" fgClr="0000FF00" bgLvl="255" bgClr="0000FF00"/>
            </ext>
          </extLst>
        </patternFill>
      </fill>
    </dxf>
    <dxf>
      <font>
        <extLst>
          <ext uri="smNativeData">
            <pm:charSpec xmlns:pm="smNativeData" id="1764661632" bgClr="00FF00">
              <pm:latin/>
              <pm:cs/>
              <pm:ea/>
            </pm:charSpec>
          </ext>
        </extLst>
      </font>
    </dxf>
    <dxf/>
  </dxfs>
  <tableStyles count="0"/>
  <extLst>
    <ext uri="smNativeData">
      <pm:charStyles xmlns:pm="smNativeData" id="1764661632" count="1">
        <pm:charStyle name="Normál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T38"/>
  <sheetViews>
    <sheetView tabSelected="1" view="normal" zoomScale="80" workbookViewId="0">
      <selection activeCell="C8" sqref="C8"/>
    </sheetView>
  </sheetViews>
  <sheetFormatPr defaultRowHeight="15.40"/>
  <cols>
    <col min="1" max="1" width="20.250000" customWidth="1"/>
    <col min="3" max="3" width="10.098214" customWidth="1"/>
    <col min="6" max="6" width="9.142857" customWidth="1"/>
    <col min="9" max="9" width="20.250000" customWidth="1"/>
    <col min="15" max="15" width="18.553571" customWidth="1"/>
    <col min="17" max="17" width="17.803571" customWidth="1"/>
    <col min="18" max="18" width="11.017857" customWidth="1"/>
    <col min="20" max="20" width="17.375000" customWidth="1"/>
  </cols>
  <sheetData>
    <row r="1" spans="1:20">
      <c r="A1" t="s">
        <v>0</v>
      </c>
      <c r="B1" t="s">
        <v>1</v>
      </c>
      <c r="E1" t="s">
        <v>1</v>
      </c>
      <c r="F1" t="s">
        <v>2</v>
      </c>
      <c r="I1" s="3" t="s">
        <v>1</v>
      </c>
      <c r="M1" s="4" t="s">
        <v>3</v>
      </c>
      <c r="N1" s="5"/>
      <c r="O1" s="6"/>
      <c r="P1" s="7"/>
      <c r="Q1" t="s">
        <v>4</v>
      </c>
      <c r="R1" t="s">
        <v>5</v>
      </c>
      <c r="S1" t="b">
        <f>$B2=$I$2</f>
        <v>0</v>
      </c>
      <c r="T1" t="s">
        <v>6</v>
      </c>
    </row>
    <row r="2" spans="1:18">
      <c r="A2" t="s">
        <v>4</v>
      </c>
      <c r="B2" t="s">
        <v>5</v>
      </c>
      <c r="C2" t="str">
        <f>IF(B2=$I$2,COUNTIF($B$2:B2,$I$2),"")</f>
        <v/>
      </c>
      <c r="E2" s="1" t="s">
        <v>7</v>
      </c>
      <c r="F2" s="2">
        <f>COUNTIF($B$2:$B$38,E2)</f>
        <v>9</v>
      </c>
      <c r="I2" s="3" t="s">
        <v>8</v>
      </c>
      <c r="Q2" t="s">
        <v>9</v>
      </c>
      <c r="R2" t="s">
        <v>5</v>
      </c>
    </row>
    <row r="3" spans="1:18">
      <c r="A3" t="s">
        <v>9</v>
      </c>
      <c r="B3" t="s">
        <v>5</v>
      </c>
      <c r="C3" t="str">
        <f>IF(B3=$I$2,COUNTIF($B$2:B3,$I$2),"")</f>
        <v/>
      </c>
      <c r="E3" s="1" t="s">
        <v>8</v>
      </c>
      <c r="F3" s="2">
        <f>COUNTIF($B$2:$B$38,E3)</f>
        <v>6</v>
      </c>
      <c r="H3" s="1" t="n">
        <v>1</v>
      </c>
      <c r="I3" s="1" t="str">
        <f aca="1">INDEX($A$2:$A$38,MATCH(H3,$C$2:$C$38,0))</f>
        <v>Esztergom Eszter</v>
      </c>
      <c r="J3" s="1" t="str">
        <f>LEFT(I3,1)&amp;" "&amp;MID(I3,SEARCH(" ",I3)+1,1)</f>
        <v>E E</v>
      </c>
      <c r="N3" t="str">
        <f>MID(I4,1,1)&amp;" "&amp;MID(I4,10,1)</f>
        <v>B T</v>
      </c>
      <c r="O3" t="s">
        <v>10</v>
      </c>
      <c r="Q3" t="s">
        <v>11</v>
      </c>
      <c r="R3" t="s">
        <v>12</v>
      </c>
    </row>
    <row r="4" spans="1:18">
      <c r="A4" t="s">
        <v>11</v>
      </c>
      <c r="B4" t="s">
        <v>12</v>
      </c>
      <c r="C4" t="str">
        <f>IF(B4=$I$2,COUNTIF($B$2:B4,$I$2),"")</f>
        <v/>
      </c>
      <c r="E4" s="1" t="s">
        <v>5</v>
      </c>
      <c r="F4" s="2">
        <f>COUNTIF($B$2:$B$38,E4)</f>
        <v>9</v>
      </c>
      <c r="H4" s="1" t="n">
        <v>2</v>
      </c>
      <c r="I4" s="1" t="str">
        <f aca="1">INDEX($A$2:$A$38,MATCH(H4,$C$2:$C$38,0))</f>
        <v>Balatoni Tündér</v>
      </c>
      <c r="J4" s="1" t="str">
        <f>LEFT(I4,1)&amp;" "&amp;MID(I4,SEARCH(" ",I4)+1,1)</f>
        <v>B T</v>
      </c>
      <c r="N4" t="str">
        <f>LEFT(I4,1)&amp;" "&amp;MID(I4,SEARCH(" ",I4)+1,1)</f>
        <v>B T</v>
      </c>
      <c r="Q4" t="s">
        <v>13</v>
      </c>
      <c r="R4" t="s">
        <v>8</v>
      </c>
    </row>
    <row r="5" spans="1:18">
      <c r="A5" t="s">
        <v>13</v>
      </c>
      <c r="B5" t="s">
        <v>8</v>
      </c>
      <c r="C5">
        <f>IF(B5=$I$2,COUNTIF($B$2:B5,$I$2),"")</f>
        <v>1</v>
      </c>
      <c r="E5" s="1" t="s">
        <v>14</v>
      </c>
      <c r="F5" s="2">
        <f>COUNTIF($B$2:$B$38,E5)</f>
        <v>6</v>
      </c>
      <c r="H5" s="1" t="n">
        <v>3</v>
      </c>
      <c r="I5" s="1" t="str">
        <f aca="1">INDEX($A$2:$A$38,MATCH(H5,$C$2:$C$38,0))</f>
        <v>Tiszai Mica</v>
      </c>
      <c r="J5" s="1" t="str">
        <f>LEFT(I5,1)&amp;" "&amp;MID(I5,SEARCH(" ",I5)+1,1)</f>
        <v>T M</v>
      </c>
      <c r="Q5" t="s">
        <v>15</v>
      </c>
      <c r="R5" t="s">
        <v>14</v>
      </c>
    </row>
    <row r="6" spans="1:18">
      <c r="A6" t="s">
        <v>15</v>
      </c>
      <c r="B6" t="s">
        <v>14</v>
      </c>
      <c r="C6" t="str">
        <f>IF(B6=$I$2,COUNTIF($B$2:B6,$I$2),"")</f>
        <v/>
      </c>
      <c r="E6" s="1" t="s">
        <v>12</v>
      </c>
      <c r="F6" s="2">
        <f>COUNTIF($B$2:$B$38,E6)</f>
        <v>7</v>
      </c>
      <c r="Q6" t="s">
        <v>16</v>
      </c>
      <c r="R6" t="s">
        <v>7</v>
      </c>
    </row>
    <row r="7" spans="1:18">
      <c r="A7" t="s">
        <v>16</v>
      </c>
      <c r="B7" t="s">
        <v>7</v>
      </c>
      <c r="C7" t="str">
        <f>IF(B7=$I$2,COUNTIF($B$2:B7,$I$2),"")</f>
        <v/>
      </c>
      <c r="Q7" t="s">
        <v>17</v>
      </c>
      <c r="R7" t="s">
        <v>8</v>
      </c>
    </row>
    <row r="8" spans="1:18">
      <c r="A8" t="s">
        <v>17</v>
      </c>
      <c r="B8" t="s">
        <v>8</v>
      </c>
      <c r="C8">
        <f>IF(B8=$I$2,COUNTIF($B$2:B8,$I$2),"")</f>
        <v>2</v>
      </c>
      <c r="Q8" t="s">
        <v>18</v>
      </c>
      <c r="R8" t="s">
        <v>12</v>
      </c>
    </row>
    <row r="9" spans="1:3">
      <c r="A9" t="s">
        <v>18</v>
      </c>
      <c r="B9" t="s">
        <v>12</v>
      </c>
      <c r="C9" t="str">
        <f>IF(B9=$I$2,COUNTIF($B$2:B9,$I$2),"")</f>
        <v/>
      </c>
    </row>
    <row r="10" spans="1:3">
      <c r="A10" t="s">
        <v>19</v>
      </c>
      <c r="B10" t="s">
        <v>7</v>
      </c>
      <c r="C10" t="str">
        <f>IF(B10=$I$2,COUNTIF($B$2:B10,$I$2),"")</f>
        <v/>
      </c>
    </row>
    <row r="11" spans="1:3">
      <c r="A11" t="s">
        <v>20</v>
      </c>
      <c r="B11" t="s">
        <v>12</v>
      </c>
      <c r="C11" t="str">
        <f>IF(B11=$I$2,COUNTIF($B$2:B11,$I$2),"")</f>
        <v/>
      </c>
    </row>
    <row r="12" spans="1:3">
      <c r="A12" t="s">
        <v>21</v>
      </c>
      <c r="B12" t="s">
        <v>14</v>
      </c>
      <c r="C12" t="str">
        <f>IF(B12=$I$2,COUNTIF($B$2:B12,$I$2),"")</f>
        <v/>
      </c>
    </row>
    <row r="13" spans="1:3">
      <c r="A13" t="s">
        <v>22</v>
      </c>
      <c r="B13" t="s">
        <v>5</v>
      </c>
      <c r="C13" t="str">
        <f>IF(B13=$I$2,COUNTIF($B$2:B13,$I$2),"")</f>
        <v/>
      </c>
    </row>
    <row r="14" spans="1:3">
      <c r="A14" t="s">
        <v>23</v>
      </c>
      <c r="B14" t="s">
        <v>14</v>
      </c>
      <c r="C14" t="str">
        <f>IF(B14=$I$2,COUNTIF($B$2:B14,$I$2),"")</f>
        <v/>
      </c>
    </row>
    <row r="15" spans="1:3">
      <c r="A15" t="s">
        <v>24</v>
      </c>
      <c r="B15" t="s">
        <v>14</v>
      </c>
      <c r="C15" t="str">
        <f>IF(B15=$I$2,COUNTIF($B$2:B15,$I$2),"")</f>
        <v/>
      </c>
    </row>
    <row r="16" spans="1:3">
      <c r="A16" t="s">
        <v>25</v>
      </c>
      <c r="B16" t="s">
        <v>7</v>
      </c>
      <c r="C16" t="str">
        <f>IF(B16=$I$2,COUNTIF($B$2:B16,$I$2),"")</f>
        <v/>
      </c>
    </row>
    <row r="17" spans="1:3">
      <c r="A17" t="s">
        <v>26</v>
      </c>
      <c r="B17" t="s">
        <v>12</v>
      </c>
      <c r="C17" t="str">
        <f>IF(B17=$I$2,COUNTIF($B$2:B17,$I$2),"")</f>
        <v/>
      </c>
    </row>
    <row r="18" spans="1:3">
      <c r="A18" t="s">
        <v>27</v>
      </c>
      <c r="B18" t="s">
        <v>8</v>
      </c>
      <c r="C18">
        <f>IF(B18=$I$2,COUNTIF($B$2:B18,$I$2),"")</f>
        <v>3</v>
      </c>
    </row>
    <row r="19" spans="1:3">
      <c r="A19" t="s">
        <v>28</v>
      </c>
      <c r="B19" t="s">
        <v>7</v>
      </c>
      <c r="C19" t="str">
        <f>IF(B19=$I$2,COUNTIF($B$2:B19,$I$2),"")</f>
        <v/>
      </c>
    </row>
    <row r="20" spans="1:3">
      <c r="A20" t="s">
        <v>29</v>
      </c>
      <c r="B20" t="s">
        <v>5</v>
      </c>
      <c r="C20" t="str">
        <f>IF(B20=$I$2,COUNTIF($B$2:B20,$I$2),"")</f>
        <v/>
      </c>
    </row>
    <row r="21" spans="1:3">
      <c r="A21" t="s">
        <v>30</v>
      </c>
      <c r="B21" t="s">
        <v>5</v>
      </c>
      <c r="C21" t="str">
        <f>IF(B21=$I$2,COUNTIF($B$2:B21,$I$2),"")</f>
        <v/>
      </c>
    </row>
    <row r="22" spans="1:3">
      <c r="A22" t="s">
        <v>31</v>
      </c>
      <c r="B22" t="s">
        <v>14</v>
      </c>
      <c r="C22" t="str">
        <f>IF(B22=$I$2,COUNTIF($B$2:B22,$I$2),"")</f>
        <v/>
      </c>
    </row>
    <row r="23" spans="1:3">
      <c r="A23" t="s">
        <v>32</v>
      </c>
      <c r="B23" t="s">
        <v>7</v>
      </c>
      <c r="C23" t="str">
        <f>IF(B23=$I$2,COUNTIF($B$2:B23,$I$2),"")</f>
        <v/>
      </c>
    </row>
    <row r="24" spans="1:3">
      <c r="A24" t="s">
        <v>33</v>
      </c>
      <c r="B24" t="s">
        <v>7</v>
      </c>
      <c r="C24" t="str">
        <f>IF(B24=$I$2,COUNTIF($B$2:B24,$I$2),"")</f>
        <v/>
      </c>
    </row>
    <row r="25" spans="1:3">
      <c r="A25" t="s">
        <v>34</v>
      </c>
      <c r="B25" t="s">
        <v>7</v>
      </c>
      <c r="C25" t="str">
        <f>IF(B25=$I$2,COUNTIF($B$2:B25,$I$2),"")</f>
        <v/>
      </c>
    </row>
    <row r="26" spans="1:3">
      <c r="A26" t="s">
        <v>35</v>
      </c>
      <c r="B26" t="s">
        <v>12</v>
      </c>
      <c r="C26" t="str">
        <f>IF(B26=$I$2,COUNTIF($B$2:B26,$I$2),"")</f>
        <v/>
      </c>
    </row>
    <row r="27" spans="1:3">
      <c r="A27" t="s">
        <v>36</v>
      </c>
      <c r="B27" t="s">
        <v>12</v>
      </c>
      <c r="C27" t="str">
        <f>IF(B27=$I$2,COUNTIF($B$2:B27,$I$2),"")</f>
        <v/>
      </c>
    </row>
    <row r="28" spans="1:3">
      <c r="A28" t="s">
        <v>37</v>
      </c>
      <c r="B28" t="s">
        <v>8</v>
      </c>
      <c r="C28">
        <f>IF(B28=$I$2,COUNTIF($B$2:B28,$I$2),"")</f>
        <v>4</v>
      </c>
    </row>
    <row r="29" spans="1:3">
      <c r="A29" t="s">
        <v>38</v>
      </c>
      <c r="B29" t="s">
        <v>8</v>
      </c>
      <c r="C29">
        <f>IF(B29=$I$2,COUNTIF($B$2:B29,$I$2),"")</f>
        <v>5</v>
      </c>
    </row>
    <row r="30" spans="1:3">
      <c r="A30" t="s">
        <v>39</v>
      </c>
      <c r="B30" t="s">
        <v>5</v>
      </c>
      <c r="C30" t="str">
        <f>IF(B30=$I$2,COUNTIF($B$2:B30,$I$2),"")</f>
        <v/>
      </c>
    </row>
    <row r="31" spans="1:3">
      <c r="A31" t="s">
        <v>40</v>
      </c>
      <c r="B31" t="s">
        <v>5</v>
      </c>
      <c r="C31" t="str">
        <f>IF(B31=$I$2,COUNTIF($B$2:B31,$I$2),"")</f>
        <v/>
      </c>
    </row>
    <row r="32" spans="1:3">
      <c r="A32" t="s">
        <v>41</v>
      </c>
      <c r="B32" t="s">
        <v>12</v>
      </c>
      <c r="C32" t="str">
        <f>IF(B32=$I$2,COUNTIF($B$2:B32,$I$2),"")</f>
        <v/>
      </c>
    </row>
    <row r="33" spans="1:3">
      <c r="A33" t="s">
        <v>42</v>
      </c>
      <c r="B33" t="s">
        <v>14</v>
      </c>
      <c r="C33" t="str">
        <f>IF(B33=$I$2,COUNTIF($B$2:B33,$I$2),"")</f>
        <v/>
      </c>
    </row>
    <row r="34" spans="1:3">
      <c r="A34" t="s">
        <v>43</v>
      </c>
      <c r="B34" t="s">
        <v>7</v>
      </c>
      <c r="C34" t="str">
        <f>IF(B34=$I$2,COUNTIF($B$2:B34,$I$2),"")</f>
        <v/>
      </c>
    </row>
    <row r="35" spans="1:3">
      <c r="A35" t="s">
        <v>44</v>
      </c>
      <c r="B35" t="s">
        <v>7</v>
      </c>
      <c r="C35" t="str">
        <f>IF(B35=$I$2,COUNTIF($B$2:B35,$I$2),"")</f>
        <v/>
      </c>
    </row>
    <row r="36" spans="1:3">
      <c r="A36" t="s">
        <v>45</v>
      </c>
      <c r="B36" t="s">
        <v>5</v>
      </c>
      <c r="C36" t="str">
        <f>IF(B36=$I$2,COUNTIF($B$2:B36,$I$2),"")</f>
        <v/>
      </c>
    </row>
    <row r="37" spans="1:3">
      <c r="A37" t="s">
        <v>46</v>
      </c>
      <c r="B37" t="s">
        <v>8</v>
      </c>
      <c r="C37">
        <f>IF(B37=$I$2,COUNTIF($B$2:B37,$I$2),"")</f>
        <v>6</v>
      </c>
    </row>
    <row r="38" spans="1:3">
      <c r="A38" t="s">
        <v>47</v>
      </c>
      <c r="B38" t="s">
        <v>5</v>
      </c>
      <c r="C38" t="str">
        <f>IF(B38=$I$2,COUNTIF($B$2:B38,$I$2),"")</f>
        <v/>
      </c>
    </row>
  </sheetData>
  <mergeCells count="1">
    <mergeCell ref="M1:P1"/>
  </mergeCells>
  <conditionalFormatting sqref="Q1:R8">
    <cfRule type="expression" dxfId="0" priority="1">
      <formula>$B2=$I$2</formula>
    </cfRule>
  </conditionalFormatting>
  <conditionalFormatting sqref="Q1:R8">
    <cfRule type="expression" dxfId="1" priority="2">
      <formula>$B2=$I$2</formula>
    </cfRule>
  </conditionalFormatting>
  <conditionalFormatting sqref="A2:B38">
    <cfRule type="expression" dxfId="2" priority="3">
      <formula>$B2=$I$2</formula>
    </cfRule>
  </conditionalFormatting>
  <conditionalFormatting sqref="Q1:R8">
    <cfRule type="expression" dxfId="3" priority="4">
      <formula>COUNTIF($I$2,$A$2:$B$38)</formula>
    </cfRule>
  </conditionalFormatting>
  <conditionalFormatting sqref="Q1:R8">
    <cfRule type="cellIs" dxfId="4" priority="5" operator="equal">
      <formula>"11. B"</formula>
    </cfRule>
  </conditionalFormatting>
  <conditionalFormatting sqref="Q1:R8">
    <cfRule type="endsWith" dxfId="5" priority="6" operator="endsWith" text="&quot;11. B&quot;">
      <formula>RIGHT(Q1,LEN(""11. B""))=""11. B""</formula>
    </cfRule>
  </conditionalFormatting>
  <conditionalFormatting sqref="Q1:R8">
    <cfRule type="cellIs" dxfId="6" priority="7" operator="equal">
      <formula>"11. B"</formula>
    </cfRule>
  </conditionalFormatting>
  <conditionalFormatting sqref="Q1:R8">
    <cfRule type="cellIs" dxfId="7" priority="8" operator="equal">
      <formula>"11. B"</formula>
    </cfRule>
  </conditionalFormatting>
  <conditionalFormatting sqref="A2:B38">
    <cfRule type="expression" dxfId="8" priority="9">
      <formula>COUNTIF($I$2,$A$2:$B$38)</formula>
    </cfRule>
  </conditionalFormatting>
  <conditionalFormatting sqref="A2:B38">
    <cfRule type="cellIs" dxfId="9" priority="10" operator="equal">
      <formula>"11. B"</formula>
    </cfRule>
  </conditionalFormatting>
  <conditionalFormatting sqref="A2:B38">
    <cfRule type="endsWith" dxfId="10" priority="11" operator="endsWith" text="&quot;11. B&quot;">
      <formula>RIGHT(A2,LEN(""11. B""))=""11. B""</formula>
    </cfRule>
  </conditionalFormatting>
  <conditionalFormatting sqref="A2:B38">
    <cfRule type="cellIs" dxfId="11" priority="12" operator="equal">
      <formula>"11. B"</formula>
    </cfRule>
  </conditionalFormatting>
  <conditionalFormatting sqref="A2:B38">
    <cfRule type="cellIs" dxfId="12" priority="13" operator="equal">
      <formula>"11. B"</formula>
    </cfRule>
  </conditionalFormatting>
  <printOptions>
    <extLst>
      <ext uri="smNativeData">
        <pm:pageFlags xmlns:pm="smNativeData" id="1764661632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 pageOrder="overThenDown"/>
  <headerFooter>
    <extLst>
      <ext uri="smNativeData">
        <pm:header xmlns:pm="smNativeData" id="1764661632" l="56" r="56" t="56" b="56" borderId="0" fillId="0" vertical="0"/>
        <pm:footer xmlns:pm="smNativeData" id="1764661632" l="56" r="56" t="56" b="56" borderId="0" fillId="0" vertical="2"/>
        <pm:paperBin xmlns:pm="smNativeData" id="1764661632" Id="0" type="0" value="0"/>
        <pm:paperBin xmlns:pm="smNativeData" id="1764661632" Id="1" type="0" value="0"/>
      </ext>
    </extLst>
  </headerFooter>
  <extLst>
    <ext uri="smNativeData">
      <pm:sheetPrefs xmlns:pm="smNativeData" day="176466163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Tóth László</dc:creator>
  <cp:keywords/>
  <dc:description/>
  <cp:lastModifiedBy>ritzo</cp:lastModifiedBy>
  <cp:revision>0</cp:revision>
  <dcterms:created xsi:type="dcterms:W3CDTF">2025-12-02T05:46:37Z</dcterms:created>
  <dcterms:modified xsi:type="dcterms:W3CDTF">2025-12-02T07:47:12Z</dcterms:modified>
</cp:coreProperties>
</file>