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2" xWindow="240" yWindow="60" windowWidth="0" windowHeight="0" tabRatio="500"/>
  </bookViews>
  <sheets>
    <sheet name="Munkalap1" sheetId="1" r:id="rId4"/>
    <sheet name="Munkalap2" sheetId="2" r:id="rId5"/>
    <sheet name="Munkalap3" sheetId="3" r:id="rId6"/>
  </sheets>
  <definedNames>
    <definedName name="_xlnm._FilterDatabase" localSheetId="1" hidden="1">Munkalap2!$A$5:$B$17</definedName>
    <definedName name="_xlnm._FilterDatabase" localSheetId="2" hidden="1">Munkalap3!$J$4:$J$14</definedName>
  </definedNames>
  <calcPr/>
  <extLst>
    <ext uri="smNativeData">
      <pm:revision xmlns:pm="smNativeData" day="1760425330" val="1228" rev="124" revOS="4" revMin="124" revMax="0"/>
      <pm:docPrefs xmlns:pm="smNativeData" id="1760425330" fixedDigits="0" showNotice="1" showProtection="1" showFrameBounds="1" autoChart="1" recalcOnPrint="1" recalcOnCopy="1" tab="567" useDefinedPrintRange="1" printArea="currentSheet"/>
      <pm:compatibility xmlns:pm="smNativeData" id="1760425330"/>
      <pm:defCurrency xmlns:pm="smNativeData" id="1760425330"/>
      <pm:specialFilter xmlns:pm="smNativeData" id="1760425330" dataOnRows="1">
        <pm:filterColumn colId="0">
          <s/>
        </pm:filterColumn>
        <pm:filterColumn colId="0" operator="greaterThan">
          <n v="100"/>
        </pm:filterColumn>
        <pm:filterColumn colId="0" operator="lessThan">
          <n v="200"/>
        </pm:filterColumn>
      </pm:specialFilter>
      <pm:sortOptions xmlns:pm="smNativeData" id="1760425330">
        <pm:column colId="1"/>
        <pm:column colId="0"/>
      </pm:sortOptions>
    </ext>
  </extLst>
</workbook>
</file>

<file path=xl/sharedStrings.xml><?xml version="1.0" encoding="utf-8"?>
<sst xmlns="http://schemas.openxmlformats.org/spreadsheetml/2006/main" count="142" uniqueCount="40">
  <si>
    <t>Iskolai nyilvántartás</t>
  </si>
  <si>
    <t>Név</t>
  </si>
  <si>
    <t>Osztály</t>
  </si>
  <si>
    <t>Jegyek</t>
  </si>
  <si>
    <t>Hiányzások</t>
  </si>
  <si>
    <t>Matek</t>
  </si>
  <si>
    <t>Töri</t>
  </si>
  <si>
    <t>Idegen nyelv</t>
  </si>
  <si>
    <t>Irodalom</t>
  </si>
  <si>
    <t>Nyelvtan</t>
  </si>
  <si>
    <t>Informatika</t>
  </si>
  <si>
    <t>Átlag</t>
  </si>
  <si>
    <t>Igazolt</t>
  </si>
  <si>
    <t>Igazolatlan</t>
  </si>
  <si>
    <t>Összes</t>
  </si>
  <si>
    <t>Kitűnő (igen/nem)</t>
  </si>
  <si>
    <t>Fejed Benő</t>
  </si>
  <si>
    <t>9.A</t>
  </si>
  <si>
    <t>Para Zita</t>
  </si>
  <si>
    <t>Pum Pál</t>
  </si>
  <si>
    <t>Bármi Áron</t>
  </si>
  <si>
    <t>9.C</t>
  </si>
  <si>
    <t>Buk Simon</t>
  </si>
  <si>
    <t>De Bella</t>
  </si>
  <si>
    <t>Seft Elek</t>
  </si>
  <si>
    <t>Csin Csilla</t>
  </si>
  <si>
    <t>9.E</t>
  </si>
  <si>
    <t>Kala Pál</t>
  </si>
  <si>
    <t>Karam Ella</t>
  </si>
  <si>
    <t>Átlag:</t>
  </si>
  <si>
    <t>Legjobb:</t>
  </si>
  <si>
    <t>Legrosszabb:</t>
  </si>
  <si>
    <t>Legrosszabb matekjegy:</t>
  </si>
  <si>
    <t>Legrosszab átlag:</t>
  </si>
  <si>
    <t>Legtöbb hiányzás:</t>
  </si>
  <si>
    <t>Legkevesebb igazolt hiányzás:</t>
  </si>
  <si>
    <t>Legtöbb igazolatlan hiányzás:</t>
  </si>
  <si>
    <t>Összes igazolt hiányzás:</t>
  </si>
  <si>
    <t>Összes igazolatlan hiányzás:</t>
  </si>
  <si>
    <t>Összes hiányzás:</t>
  </si>
</sst>
</file>

<file path=xl/styles.xml><?xml version="1.0" encoding="utf-8"?>
<styleSheet xmlns="http://schemas.openxmlformats.org/spreadsheetml/2006/main">
  <numFmts count="10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  <numFmt numFmtId="164" formatCode="0.0"/>
    <numFmt numFmtId="1" formatCode="0"/>
  </numFmts>
  <fonts count="4">
    <font>
      <name val="Arial"/>
      <charset val="238"/>
      <family val="2"/>
      <color rgb="FF000000"/>
      <sz val="10"/>
      <extLst>
        <ext uri="smNativeData">
          <pm:charSpec xmlns:pm="smNativeData" id="176042533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charset val="238"/>
      <family val="2"/>
      <b/>
      <color rgb="FF000000"/>
      <sz val="10"/>
      <extLst>
        <ext uri="smNativeData">
          <pm:charSpec xmlns:pm="smNativeData" id="1760425330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charset val="238"/>
      <family val="2"/>
      <color rgb="FF7F7F00"/>
      <sz val="10"/>
      <extLst>
        <ext uri="smNativeData">
          <pm:charSpec xmlns:pm="smNativeData" id="1760425330" fgClr="7F7F0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charset val="238"/>
      <family val="2"/>
      <color rgb="FF000000"/>
      <sz val="16"/>
      <extLst>
        <ext uri="smNativeData">
          <pm:charSpec xmlns:pm="smNativeData" id="1760425330" ulstyle="none" kern="1">
            <pm:latin face="Arial" sz="320" lang="default"/>
            <pm:cs face="Times New Roman" sz="200" lang="default"/>
            <pm:ea face="SimSun" sz="200" lang="default"/>
          </pm:charSpec>
        </ext>
      </extLst>
    </font>
  </fonts>
  <fills count="3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0425330" type="1" fgLvl="100" fgClr="00FFFFFF" bgLvl="100" bgClr="00000000"/>
          </ext>
        </extLst>
      </patternFill>
    </fill>
    <fill>
      <patternFill patternType="solid">
        <fgColor rgb="FFD1D100"/>
        <bgColor rgb="FFFFFFFF"/>
        <extLst>
          <ext uri="smNativeData">
            <pm:shade xmlns:pm="smNativeData" id="1760425330" type="1" fgLvl="82" fgClr="00FFFF00" bgLvl="18" bgClr="00000000"/>
          </ext>
        </extLst>
      </patternFill>
    </fill>
    <fill>
      <patternFill patternType="solid">
        <fgColor rgb="FFD1D100"/>
        <bgColor rgb="FFFFFFFF"/>
        <extLst>
          <ext uri="smNativeData">
            <pm:shade xmlns:pm="smNativeData" id="1760425330" type="1" fgLvl="82" fgClr="00FFFF00" bgLvl="18" bgClr="00000000"/>
          </ext>
        </extLst>
      </patternFill>
    </fill>
    <fill>
      <patternFill patternType="solid">
        <fgColor rgb="FFD1D100"/>
        <bgColor rgb="FFFFFFFF"/>
        <extLst>
          <ext uri="smNativeData">
            <pm:shade xmlns:pm="smNativeData" id="1760425330" type="1" fgLvl="82" fgClr="00FFFF00" bgLvl="18" bgClr="00000000"/>
          </ext>
        </extLst>
      </patternFill>
    </fill>
    <fill>
      <patternFill patternType="none"/>
    </fill>
    <fill>
      <patternFill patternType="solid">
        <fgColor rgb="FFD1D100"/>
        <bgColor rgb="FFFFFFFF"/>
        <extLst>
          <ext uri="smNativeData">
            <pm:shade xmlns:pm="smNativeData" id="1760425330" type="1" fgLvl="82" fgClr="00FFFF00" bgLvl="18" bgClr="00000000"/>
          </ext>
        </extLst>
      </patternFill>
    </fill>
    <fill>
      <patternFill patternType="solid">
        <fgColor rgb="FFD1D100"/>
        <bgColor rgb="FFFFFFFF"/>
        <extLst>
          <ext uri="smNativeData">
            <pm:shade xmlns:pm="smNativeData" id="1760425330" type="1" fgLvl="82" fgClr="00FFFF00" bgLvl="18" bgClr="00000000"/>
          </ext>
        </extLst>
      </patternFill>
    </fill>
    <fill>
      <patternFill patternType="none"/>
    </fill>
    <fill>
      <patternFill patternType="solid">
        <fgColor rgb="FFD1D100"/>
        <bgColor rgb="FFFFFFFF"/>
        <extLst>
          <ext uri="smNativeData">
            <pm:shade xmlns:pm="smNativeData" id="1760425330" type="1" fgLvl="82" fgClr="00FFFF00" bgLvl="18" bgClr="00000000"/>
          </ext>
        </extLst>
      </patternFill>
    </fill>
    <fill>
      <patternFill patternType="solid">
        <fgColor rgb="FFD1D100"/>
        <bgColor rgb="FFFFFFFF"/>
        <extLst>
          <ext uri="smNativeData">
            <pm:shade xmlns:pm="smNativeData" id="1760425330" type="1" fgLvl="82" fgClr="00FFFF00" bgLvl="18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7F7F00"/>
        <bgColor rgb="FFFFFFFF"/>
        <extLst>
          <ext uri="smNativeData">
            <pm:shade xmlns:pm="smNativeData" id="1760425330" type="1" fgLvl="100" fgClr="007F7F00" bgLvl="0" bgClr="00FFFFFF"/>
          </ext>
        </extLst>
      </patternFill>
    </fill>
    <fill>
      <patternFill patternType="solid">
        <fgColor rgb="FF7F7F00"/>
        <bgColor rgb="FFFFFFFF"/>
        <extLst>
          <ext uri="smNativeData">
            <pm:shade xmlns:pm="smNativeData" id="1760425330" type="1" fgLvl="100" fgClr="007F7F00" bgLvl="0" bgClr="00000000"/>
          </ext>
        </extLst>
      </patternFill>
    </fill>
    <fill>
      <patternFill patternType="solid">
        <fgColor rgb="FFA3A300"/>
        <bgColor rgb="FFFFFFFF"/>
        <extLst>
          <ext uri="smNativeData">
            <pm:shade xmlns:pm="smNativeData" id="1760425330" type="1" fgLvl="64" fgClr="00FFFF00" bgLvl="36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solid">
        <fgColor rgb="FFA3A300"/>
        <bgColor rgb="FFFFFFFF"/>
        <extLst>
          <ext uri="smNativeData">
            <pm:shade xmlns:pm="smNativeData" id="1760425330" type="1" fgLvl="64" fgClr="00FFFF00" bgLvl="36" bgClr="00000000"/>
          </ext>
        </extLst>
      </patternFill>
    </fill>
    <fill>
      <patternFill patternType="none"/>
    </fill>
    <fill>
      <patternFill patternType="solid">
        <fgColor rgb="FF000000"/>
        <bgColor rgb="FFFFFFFF"/>
        <extLst>
          <ext uri="smNativeData">
            <pm:shade xmlns:pm="smNativeData" id="1760425330" type="1" fgLvl="0" fgClr="00FFFFFF" bgLvl="100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0425330" type="1" fgLvl="100" fgClr="00FFFFFF" bgLvl="0" bgClr="00FFFFFF"/>
          </ext>
        </extLst>
      </patternFill>
    </fill>
  </fills>
  <borders count="3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425330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425330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425330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none">
        <color rgb="FF000000"/>
      </bottom>
      <extLst>
        <ext uri="smNativeData">
          <pm:border xmlns:pm="smNativeData" id="1760425330">
            <pm:line position="top" type="1" style="0" width="4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ck">
        <color rgb="FF000000"/>
      </top>
      <bottom style="none">
        <color rgb="FF000000"/>
      </bottom>
      <extLst>
        <ext uri="smNativeData">
          <pm:border xmlns:pm="smNativeData" id="1760425330">
            <pm:line position="top" type="1" style="0" width="4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0425330"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0425330">
            <pm:line position="bottom" type="1" style="0" width="40" dist="20" width2="20" rgb="000000"/>
            <pm:line position="right" type="1" style="0" width="2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none">
        <color rgb="FF000000"/>
      </bottom>
      <extLst>
        <ext uri="smNativeData">
          <pm:border xmlns:pm="smNativeData" id="1760425330">
            <pm:line position="top" type="1" style="0" width="40" dist="20" width2="20" rgb="000000"/>
            <pm:line position="left" type="1" style="0" width="4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0425330"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thick">
        <color rgb="FF000000"/>
      </top>
      <bottom style="none">
        <color rgb="FF000000"/>
      </bottom>
      <extLst>
        <ext uri="smNativeData">
          <pm:border xmlns:pm="smNativeData" id="1760425330">
            <pm:line position="top" type="1" style="0" width="40" dist="20" width2="20" rgb="000000"/>
            <pm:line position="right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0425330"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42533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60425330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42533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6">
    <xf numFmtId="0" fontId="0" fillId="0" borderId="0" xfId="0"/>
    <xf numFmtId="0" fontId="0" fillId="0" borderId="8" xfId="0" applyBorder="1"/>
    <xf numFmtId="0" fontId="0" fillId="0" borderId="12" xfId="0" applyBorder="1"/>
    <xf numFmtId="0" fontId="1" fillId="8" borderId="7" xfId="0" applyFont="1" applyFill="1" applyBorder="1"/>
    <xf numFmtId="0" fontId="0" fillId="27" borderId="26" xfId="0" applyFill="1" applyBorder="1"/>
    <xf numFmtId="0" fontId="2" fillId="27" borderId="26" xfId="0" applyFont="1" applyFill="1" applyBorder="1"/>
    <xf numFmtId="0" fontId="3" fillId="28" borderId="27" xfId="0" applyFont="1" applyFill="1" applyBorder="1" applyAlignment="1">
      <alignment horizontal="center" vertical="center"/>
    </xf>
    <xf numFmtId="0" fontId="0" fillId="28" borderId="27" xfId="0" applyFill="1" applyBorder="1" applyAlignment="1">
      <alignment horizontal="center" vertical="center"/>
    </xf>
    <xf numFmtId="0" fontId="0" fillId="28" borderId="27" xfId="0" applyFill="1" applyBorder="1"/>
    <xf numFmtId="164" fontId="0" fillId="0" borderId="12" xfId="0" applyNumberFormat="1" applyBorder="1"/>
    <xf numFmtId="0" fontId="0" fillId="28" borderId="27" xfId="0" applyFill="1" applyBorder="1" applyAlignment="1">
      <alignment horizontal="center" vertical="center" wrapText="1"/>
    </xf>
    <xf numFmtId="1" fontId="0" fillId="0" borderId="12" xfId="0" applyNumberFormat="1" applyBorder="1"/>
    <xf numFmtId="1" fontId="0" fillId="0" borderId="28" xfId="0" applyNumberFormat="1" applyBorder="1"/>
    <xf numFmtId="0" fontId="0" fillId="30" borderId="29" xfId="0" applyFill="1" applyBorder="1"/>
    <xf numFmtId="1" fontId="0" fillId="0" borderId="12" xfId="0" applyNumberFormat="1" applyBorder="1"/>
    <xf numFmtId="1" fontId="0" fillId="0" borderId="28" xfId="0" applyNumberFormat="1" applyBorder="1"/>
  </cellXfs>
  <cellStyles count="1">
    <cellStyle name="Normal" xfId="0" builtinId="0" customBuiltin="1"/>
  </cellStyles>
  <tableStyles count="0"/>
  <extLst>
    <ext uri="smNativeData">
      <pm:charStyles xmlns:pm="smNativeData" id="1760425330" count="1">
        <pm:charStyle name="Normá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26"/>
  <sheetViews>
    <sheetView view="normal" workbookViewId="0">
      <selection activeCell="H29" sqref="H29"/>
    </sheetView>
  </sheetViews>
  <sheetFormatPr baseColWidth="9" defaultColWidth="10.000000" defaultRowHeight="13.45"/>
  <cols>
    <col min="1" max="1" width="11.828829" customWidth="1"/>
    <col min="2" max="2" width="15.063063" customWidth="1"/>
    <col min="13" max="13" width="15.747748" customWidth="1"/>
  </cols>
  <sheetData>
    <row r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7" t="s">
        <v>1</v>
      </c>
      <c r="B3" s="7" t="s">
        <v>2</v>
      </c>
      <c r="C3" s="7" t="s">
        <v>3</v>
      </c>
      <c r="D3" s="7"/>
      <c r="E3" s="7"/>
      <c r="F3" s="7"/>
      <c r="G3" s="7"/>
      <c r="H3" s="7"/>
      <c r="I3" s="7"/>
      <c r="J3" s="7" t="s">
        <v>4</v>
      </c>
      <c r="K3" s="7"/>
      <c r="L3" s="7"/>
      <c r="M3" s="7"/>
    </row>
    <row r="4" spans="1:13">
      <c r="A4" s="7"/>
      <c r="B4" s="7"/>
      <c r="C4" s="7" t="s">
        <v>5</v>
      </c>
      <c r="D4" s="7" t="s">
        <v>6</v>
      </c>
      <c r="E4" s="10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</row>
    <row r="5" spans="1:13">
      <c r="A5" s="8" t="s">
        <v>16</v>
      </c>
      <c r="B5" s="8" t="s">
        <v>17</v>
      </c>
      <c r="C5" s="2" t="n">
        <v>2</v>
      </c>
      <c r="D5" s="2" t="n">
        <v>4</v>
      </c>
      <c r="E5" s="2" t="n">
        <v>1</v>
      </c>
      <c r="F5" s="2" t="n">
        <v>2</v>
      </c>
      <c r="G5" s="2" t="n">
        <v>1</v>
      </c>
      <c r="H5" s="2" t="n">
        <v>3</v>
      </c>
      <c r="I5" s="9">
        <f>AVERAGE(C5:H5)</f>
        <v>2.16666666666666652</v>
      </c>
      <c r="J5" s="2" t="n">
        <v>230</v>
      </c>
      <c r="K5" s="2" t="n">
        <v>16</v>
      </c>
      <c r="L5" s="2">
        <f>SUM(J5:K5)</f>
        <v>246</v>
      </c>
      <c r="M5" s="11" t="str">
        <f>IF(I5:I14&gt;4,"Igen","Nem")</f>
        <v>Nem</v>
      </c>
    </row>
    <row r="6" spans="1:13">
      <c r="A6" s="8" t="s">
        <v>18</v>
      </c>
      <c r="B6" s="8" t="s">
        <v>17</v>
      </c>
      <c r="C6" s="2" t="n">
        <v>4</v>
      </c>
      <c r="D6" s="2" t="n">
        <v>1</v>
      </c>
      <c r="E6" s="2" t="n">
        <v>4</v>
      </c>
      <c r="F6" s="2" t="n">
        <v>1</v>
      </c>
      <c r="G6" s="2" t="n">
        <v>2</v>
      </c>
      <c r="H6" s="2" t="n">
        <v>5</v>
      </c>
      <c r="I6" s="9">
        <f>AVERAGE(C6:H6)</f>
        <v>2.83333333333333357</v>
      </c>
      <c r="J6" s="2" t="n">
        <v>65</v>
      </c>
      <c r="K6" s="2" t="n">
        <v>0</v>
      </c>
      <c r="L6" s="2">
        <f>SUM(J6:K6)</f>
        <v>65</v>
      </c>
      <c r="M6" s="11" t="str">
        <f>IF(I6:I15&gt;4,"Igen","Nem")</f>
        <v>Nem</v>
      </c>
    </row>
    <row r="7" spans="1:13">
      <c r="A7" s="8" t="s">
        <v>19</v>
      </c>
      <c r="B7" s="8" t="s">
        <v>17</v>
      </c>
      <c r="C7" s="2" t="n">
        <v>3</v>
      </c>
      <c r="D7" s="2" t="n">
        <v>3</v>
      </c>
      <c r="E7" s="2" t="n">
        <v>2</v>
      </c>
      <c r="F7" s="2" t="n">
        <v>4</v>
      </c>
      <c r="G7" s="2" t="n">
        <v>2</v>
      </c>
      <c r="H7" s="2" t="n">
        <v>1</v>
      </c>
      <c r="I7" s="9">
        <f>AVERAGE(C7:H7)</f>
        <v>2.5</v>
      </c>
      <c r="J7" s="2" t="n">
        <v>34</v>
      </c>
      <c r="K7" s="2" t="n">
        <v>7</v>
      </c>
      <c r="L7" s="2">
        <f>SUM(J7:K7)</f>
        <v>41</v>
      </c>
      <c r="M7" s="11" t="str">
        <f>IF(I7:I16&gt;4,"Igen","Nem")</f>
        <v>Nem</v>
      </c>
    </row>
    <row r="8" spans="1:13">
      <c r="A8" s="8" t="s">
        <v>20</v>
      </c>
      <c r="B8" s="8" t="s">
        <v>21</v>
      </c>
      <c r="C8" s="2" t="n">
        <v>5</v>
      </c>
      <c r="D8" s="2" t="n">
        <v>5</v>
      </c>
      <c r="E8" s="2" t="n">
        <v>5</v>
      </c>
      <c r="F8" s="2" t="n">
        <v>5</v>
      </c>
      <c r="G8" s="2" t="n">
        <v>5</v>
      </c>
      <c r="H8" s="2" t="n">
        <v>5</v>
      </c>
      <c r="I8" s="9">
        <f>AVERAGE(C8:H8)</f>
        <v>5</v>
      </c>
      <c r="J8" s="2" t="n">
        <v>123</v>
      </c>
      <c r="K8" s="2" t="n">
        <v>14</v>
      </c>
      <c r="L8" s="2">
        <f>SUM(J8:K8)</f>
        <v>137</v>
      </c>
      <c r="M8" s="11" t="str">
        <f>IF(I8:I17&gt;4,"Igen","Nem")</f>
        <v>Igen</v>
      </c>
    </row>
    <row r="9" spans="1:13">
      <c r="A9" s="8" t="s">
        <v>22</v>
      </c>
      <c r="B9" s="8" t="s">
        <v>21</v>
      </c>
      <c r="C9" s="2" t="n">
        <v>4</v>
      </c>
      <c r="D9" s="2" t="n">
        <v>2</v>
      </c>
      <c r="E9" s="2" t="n">
        <v>3</v>
      </c>
      <c r="F9" s="2" t="n">
        <v>4</v>
      </c>
      <c r="G9" s="2" t="n">
        <v>4</v>
      </c>
      <c r="H9" s="2" t="n">
        <v>2</v>
      </c>
      <c r="I9" s="9">
        <f>AVERAGE(C9:H9)</f>
        <v>3.16666666666666652</v>
      </c>
      <c r="J9" s="2" t="n">
        <v>98</v>
      </c>
      <c r="K9" s="2" t="n">
        <v>11</v>
      </c>
      <c r="L9" s="2">
        <f>SUM(J9:K9)</f>
        <v>109</v>
      </c>
      <c r="M9" s="11" t="str">
        <f>IF(I9:I18&gt;4,"Igen","Nem")</f>
        <v>Nem</v>
      </c>
    </row>
    <row r="10" spans="1:13">
      <c r="A10" s="8" t="s">
        <v>23</v>
      </c>
      <c r="B10" s="8" t="s">
        <v>21</v>
      </c>
      <c r="C10" s="2" t="n">
        <v>4</v>
      </c>
      <c r="D10" s="2" t="n">
        <v>3</v>
      </c>
      <c r="E10" s="2" t="n">
        <v>2</v>
      </c>
      <c r="F10" s="2" t="n">
        <v>5</v>
      </c>
      <c r="G10" s="2" t="n">
        <v>1</v>
      </c>
      <c r="H10" s="2" t="n">
        <v>2</v>
      </c>
      <c r="I10" s="9">
        <f>AVERAGE(C10:H10)</f>
        <v>2.83333333333333357</v>
      </c>
      <c r="J10" s="2" t="n">
        <v>102</v>
      </c>
      <c r="K10" s="2" t="n">
        <v>0</v>
      </c>
      <c r="L10" s="2">
        <f>SUM(J10:K10)</f>
        <v>102</v>
      </c>
      <c r="M10" s="11" t="str">
        <f>IF(I10:I19&gt;4,"Igen","Nem")</f>
        <v>Nem</v>
      </c>
    </row>
    <row r="11" spans="1:13">
      <c r="A11" s="8" t="s">
        <v>24</v>
      </c>
      <c r="B11" s="8" t="s">
        <v>21</v>
      </c>
      <c r="C11" s="2" t="n">
        <v>1</v>
      </c>
      <c r="D11" s="2" t="n">
        <v>2</v>
      </c>
      <c r="E11" s="2" t="n">
        <v>2</v>
      </c>
      <c r="F11" s="2" t="n">
        <v>2</v>
      </c>
      <c r="G11" s="2" t="n">
        <v>3</v>
      </c>
      <c r="H11" s="2" t="n">
        <v>2</v>
      </c>
      <c r="I11" s="9">
        <f>AVERAGE(C11:H11)</f>
        <v>2</v>
      </c>
      <c r="J11" s="2" t="n">
        <v>146</v>
      </c>
      <c r="K11" s="2" t="n">
        <v>0</v>
      </c>
      <c r="L11" s="2">
        <f>SUM(J11:K11)</f>
        <v>146</v>
      </c>
      <c r="M11" s="11" t="str">
        <f>IF(I11:I20&gt;4,"Igen","Nem")</f>
        <v>Nem</v>
      </c>
    </row>
    <row r="12" spans="1:13">
      <c r="A12" s="8" t="s">
        <v>25</v>
      </c>
      <c r="B12" s="8" t="s">
        <v>26</v>
      </c>
      <c r="C12" s="2" t="n">
        <v>1</v>
      </c>
      <c r="D12" s="2" t="n">
        <v>2</v>
      </c>
      <c r="E12" s="2" t="n">
        <v>2</v>
      </c>
      <c r="F12" s="2" t="n">
        <v>4</v>
      </c>
      <c r="G12" s="2" t="n">
        <v>2</v>
      </c>
      <c r="H12" s="2" t="n">
        <v>4</v>
      </c>
      <c r="I12" s="9">
        <f>AVERAGE(C12:H12)</f>
        <v>2.5</v>
      </c>
      <c r="J12" s="2" t="n">
        <v>149</v>
      </c>
      <c r="K12" s="2" t="n">
        <v>6</v>
      </c>
      <c r="L12" s="2">
        <f>SUM(J12:K12)</f>
        <v>155</v>
      </c>
      <c r="M12" s="11" t="str">
        <f>IF(I12:I21&gt;4,"Igen","Nem")</f>
        <v>Nem</v>
      </c>
    </row>
    <row r="13" spans="1:13">
      <c r="A13" s="8" t="s">
        <v>27</v>
      </c>
      <c r="B13" s="8" t="s">
        <v>26</v>
      </c>
      <c r="C13" s="2" t="n">
        <v>2</v>
      </c>
      <c r="D13" s="2" t="n">
        <v>2</v>
      </c>
      <c r="E13" s="2" t="n">
        <v>3</v>
      </c>
      <c r="F13" s="2" t="n">
        <v>4</v>
      </c>
      <c r="G13" s="2" t="n">
        <v>4</v>
      </c>
      <c r="H13" s="2" t="n">
        <v>5</v>
      </c>
      <c r="I13" s="9">
        <f>AVERAGE(C13:H13)</f>
        <v>3.33333333333333348</v>
      </c>
      <c r="J13" s="2" t="n">
        <v>45</v>
      </c>
      <c r="K13" s="2" t="n">
        <v>2</v>
      </c>
      <c r="L13" s="2">
        <f>SUM(J13:K13)</f>
        <v>47</v>
      </c>
      <c r="M13" s="12" t="str">
        <f>IF(I13:I22&gt;4,"Igen","Nem")</f>
        <v>Nem</v>
      </c>
    </row>
    <row r="14" spans="1:13">
      <c r="A14" s="8" t="s">
        <v>28</v>
      </c>
      <c r="B14" s="8" t="s">
        <v>26</v>
      </c>
      <c r="C14" s="2" t="n">
        <v>1</v>
      </c>
      <c r="D14" s="2" t="n">
        <v>5</v>
      </c>
      <c r="E14" s="2" t="n">
        <v>4</v>
      </c>
      <c r="F14" s="2" t="n">
        <v>4</v>
      </c>
      <c r="G14" s="2" t="n">
        <v>2</v>
      </c>
      <c r="H14" s="2" t="n">
        <v>5</v>
      </c>
      <c r="I14" s="9">
        <f>AVERAGE(C14:H14)</f>
        <v>3.5</v>
      </c>
      <c r="J14" s="2" t="n">
        <v>0</v>
      </c>
      <c r="K14" s="2" t="n">
        <v>0</v>
      </c>
      <c r="L14" s="1">
        <f>SUM(J14:K14)</f>
        <v>0</v>
      </c>
      <c r="M14" s="11" t="str">
        <f>IF(I14:I23&gt;4,"Igen","Nem")</f>
        <v>Nem</v>
      </c>
    </row>
    <row r="15" spans="1:12">
      <c r="A15" s="5" t="s">
        <v>29</v>
      </c>
      <c r="B15" s="2"/>
      <c r="C15" s="2">
        <f>AVERAGE(C$5:C$14)</f>
        <v>2.70000000000000018</v>
      </c>
      <c r="D15" s="2">
        <f>AVERAGE(D$5:D$14)</f>
        <v>2.9</v>
      </c>
      <c r="E15" s="2">
        <f>AVERAGE(E$5:E$14)</f>
        <v>2.79999999999999982</v>
      </c>
      <c r="F15" s="2">
        <f>AVERAGE(F$5:F$14)</f>
        <v>3.5</v>
      </c>
      <c r="G15" s="2">
        <f>AVERAGE(G$5:G$14)</f>
        <v>2.60000000000000009</v>
      </c>
      <c r="H15" s="2">
        <f>AVERAGE(H$5:H$14)</f>
        <v>3.39999999999999991</v>
      </c>
      <c r="I15" s="2">
        <f>AVERAGE(I$5:I$14)</f>
        <v>2.98333333333333339</v>
      </c>
      <c r="J15" s="4"/>
      <c r="K15" s="4"/>
      <c r="L15" s="13"/>
    </row>
    <row r="16" spans="1:12">
      <c r="A16" s="5" t="s">
        <v>30</v>
      </c>
      <c r="B16" s="2"/>
      <c r="C16" s="2">
        <f>MAX(C5:C14)</f>
        <v>5</v>
      </c>
      <c r="D16" s="2">
        <f>MAX(D5:D14)</f>
        <v>5</v>
      </c>
      <c r="E16" s="2">
        <f>MAX(E5:E14)</f>
        <v>5</v>
      </c>
      <c r="F16" s="2">
        <f>MAX(F5:F14)</f>
        <v>5</v>
      </c>
      <c r="G16" s="2">
        <f>MAX(G5:G14)</f>
        <v>5</v>
      </c>
      <c r="H16" s="2">
        <f>MAX(H5:H14)</f>
        <v>5</v>
      </c>
      <c r="I16" s="2">
        <f>MAX(I5:I14)</f>
        <v>5</v>
      </c>
      <c r="J16" s="4"/>
      <c r="K16" s="4"/>
      <c r="L16" s="13"/>
    </row>
    <row r="17" spans="1:12">
      <c r="A17" s="5" t="s">
        <v>31</v>
      </c>
      <c r="B17" s="2"/>
      <c r="C17" s="2">
        <f>MIN(C5:C14)</f>
        <v>1</v>
      </c>
      <c r="D17" s="2">
        <f>MIN(D5:D14)</f>
        <v>1</v>
      </c>
      <c r="E17" s="2">
        <f>MIN(E5:E14)</f>
        <v>1</v>
      </c>
      <c r="F17" s="2">
        <f>MIN(F5:F14)</f>
        <v>1</v>
      </c>
      <c r="G17" s="2">
        <f>MIN(G5:G14)</f>
        <v>1</v>
      </c>
      <c r="H17" s="2">
        <f>MIN(H5:H14)</f>
        <v>1</v>
      </c>
      <c r="I17" s="2">
        <f>MIN(I5:I14)</f>
        <v>2</v>
      </c>
      <c r="J17" s="4"/>
      <c r="K17" s="4"/>
      <c r="L17" s="13"/>
    </row>
    <row r="19" spans="1:3">
      <c r="A19" s="3" t="s">
        <v>32</v>
      </c>
      <c r="B19" s="3"/>
      <c r="C19" s="2">
        <f>MIN(C5:C14)</f>
        <v>1</v>
      </c>
    </row>
    <row r="20" spans="1:3">
      <c r="A20" s="3" t="s">
        <v>33</v>
      </c>
      <c r="B20" s="3"/>
      <c r="C20" s="2">
        <f>MIN(C15:H15)</f>
        <v>2.60000000000000009</v>
      </c>
    </row>
    <row r="21" spans="1:3">
      <c r="A21" s="3" t="s">
        <v>34</v>
      </c>
      <c r="B21" s="3"/>
      <c r="C21" s="2">
        <f>MAX(L5:L14)</f>
        <v>246</v>
      </c>
    </row>
    <row r="22" spans="1:3">
      <c r="A22" s="3" t="s">
        <v>35</v>
      </c>
      <c r="B22" s="3"/>
      <c r="C22" s="2">
        <f>MIN(J5:J14)</f>
        <v>0</v>
      </c>
    </row>
    <row r="23" spans="1:3">
      <c r="A23" s="3" t="s">
        <v>36</v>
      </c>
      <c r="B23" s="3"/>
      <c r="C23" s="2">
        <f>MAX(K5:K14)</f>
        <v>16</v>
      </c>
    </row>
    <row r="24" spans="1:3">
      <c r="A24" s="3" t="s">
        <v>37</v>
      </c>
      <c r="B24" s="3"/>
      <c r="C24" s="2">
        <f>SUM(J5:J14)</f>
        <v>992</v>
      </c>
    </row>
    <row r="25" spans="1:3">
      <c r="A25" s="3" t="s">
        <v>38</v>
      </c>
      <c r="B25" s="3"/>
      <c r="C25" s="2">
        <f>SUM(K5:K14)</f>
        <v>56</v>
      </c>
    </row>
    <row r="26" spans="1:3">
      <c r="A26" s="3" t="s">
        <v>39</v>
      </c>
      <c r="B26" s="3"/>
      <c r="C26" s="2">
        <f>SUM(C24:C25)</f>
        <v>1048</v>
      </c>
    </row>
  </sheetData>
  <mergeCells count="16">
    <mergeCell ref="A1:M2"/>
    <mergeCell ref="C3:I3"/>
    <mergeCell ref="J3:L3"/>
    <mergeCell ref="A3:A4"/>
    <mergeCell ref="B3:B4"/>
    <mergeCell ref="A15:B15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>
    <extLst>
      <ext uri="smNativeData">
        <pm:pageFlags xmlns:pm="smNativeData" id="176042533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0425330" l="56" r="56" t="56" b="56" borderId="0" fillId="0" vertical="0"/>
        <pm:footer xmlns:pm="smNativeData" id="1760425330" l="56" r="56" t="56" b="56" borderId="0" fillId="0" vertical="2"/>
        <pm:paperBin xmlns:pm="smNativeData" id="1760425330" Id="0" type="0" value="0"/>
        <pm:paperBin xmlns:pm="smNativeData" id="1760425330" Id="1" type="0" value="0"/>
      </ext>
    </extLst>
  </headerFooter>
  <extLst>
    <ext uri="smNativeData">
      <pm:sheetPrefs xmlns:pm="smNativeData" day="176042533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M26"/>
  <sheetViews>
    <sheetView view="normal" workbookViewId="0">
      <selection activeCell="M4" sqref="M4"/>
    </sheetView>
  </sheetViews>
  <sheetFormatPr baseColWidth="9" defaultColWidth="10.000000" defaultRowHeight="13.45"/>
  <cols>
    <col min="13" max="13" width="16.558559" customWidth="1"/>
  </cols>
  <sheetData>
    <row r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7" t="s">
        <v>1</v>
      </c>
      <c r="B3" s="7" t="s">
        <v>2</v>
      </c>
      <c r="C3" s="7" t="s">
        <v>3</v>
      </c>
      <c r="D3" s="7"/>
      <c r="E3" s="7"/>
      <c r="F3" s="7"/>
      <c r="G3" s="7"/>
      <c r="H3" s="7"/>
      <c r="I3" s="7"/>
      <c r="J3" s="7" t="s">
        <v>4</v>
      </c>
      <c r="K3" s="7"/>
      <c r="L3" s="7"/>
      <c r="M3" s="7"/>
    </row>
    <row r="4" spans="1:13">
      <c r="A4" s="7"/>
      <c r="B4" s="7"/>
      <c r="C4" s="7" t="s">
        <v>5</v>
      </c>
      <c r="D4" s="7" t="s">
        <v>6</v>
      </c>
      <c r="E4" s="10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</row>
    <row r="5" spans="1:13">
      <c r="A5" s="8" t="s">
        <v>16</v>
      </c>
      <c r="B5" s="8" t="s">
        <v>17</v>
      </c>
      <c r="C5" s="2" t="n">
        <v>2</v>
      </c>
      <c r="D5" s="2" t="n">
        <v>4</v>
      </c>
      <c r="E5" s="2" t="n">
        <v>1</v>
      </c>
      <c r="F5" s="2" t="n">
        <v>2</v>
      </c>
      <c r="G5" s="2" t="n">
        <v>1</v>
      </c>
      <c r="H5" s="2" t="n">
        <v>3</v>
      </c>
      <c r="I5" s="9">
        <f>AVERAGE(C5:H5)</f>
        <v>2.16666666666666652</v>
      </c>
      <c r="J5" s="2" t="n">
        <v>230</v>
      </c>
      <c r="K5" s="2" t="n">
        <v>16</v>
      </c>
      <c r="L5" s="2">
        <f>SUM(J5:K5)</f>
        <v>246</v>
      </c>
      <c r="M5" s="14" t="str">
        <f>IF(I5:I14&gt;4,"Igen","Nem")</f>
        <v>Nem</v>
      </c>
    </row>
    <row r="6" spans="1:13">
      <c r="A6" s="8" t="s">
        <v>18</v>
      </c>
      <c r="B6" s="8" t="s">
        <v>17</v>
      </c>
      <c r="C6" s="2" t="n">
        <v>4</v>
      </c>
      <c r="D6" s="2" t="n">
        <v>1</v>
      </c>
      <c r="E6" s="2" t="n">
        <v>4</v>
      </c>
      <c r="F6" s="2" t="n">
        <v>1</v>
      </c>
      <c r="G6" s="2" t="n">
        <v>2</v>
      </c>
      <c r="H6" s="2" t="n">
        <v>5</v>
      </c>
      <c r="I6" s="9">
        <f>AVERAGE(C6:H6)</f>
        <v>2.83333333333333357</v>
      </c>
      <c r="J6" s="2" t="n">
        <v>65</v>
      </c>
      <c r="K6" s="2" t="n">
        <v>0</v>
      </c>
      <c r="L6" s="2">
        <f>SUM(J6:K6)</f>
        <v>65</v>
      </c>
      <c r="M6" s="14" t="str">
        <f>IF(I6:I15&gt;4,"Igen","Nem")</f>
        <v>Nem</v>
      </c>
    </row>
    <row r="7" spans="1:13">
      <c r="A7" s="8" t="s">
        <v>19</v>
      </c>
      <c r="B7" s="8" t="s">
        <v>17</v>
      </c>
      <c r="C7" s="2" t="n">
        <v>3</v>
      </c>
      <c r="D7" s="2" t="n">
        <v>3</v>
      </c>
      <c r="E7" s="2" t="n">
        <v>2</v>
      </c>
      <c r="F7" s="2" t="n">
        <v>4</v>
      </c>
      <c r="G7" s="2" t="n">
        <v>2</v>
      </c>
      <c r="H7" s="2" t="n">
        <v>1</v>
      </c>
      <c r="I7" s="9">
        <f>AVERAGE(C7:H7)</f>
        <v>2.5</v>
      </c>
      <c r="J7" s="2" t="n">
        <v>34</v>
      </c>
      <c r="K7" s="2" t="n">
        <v>7</v>
      </c>
      <c r="L7" s="2">
        <f>SUM(J7:K7)</f>
        <v>41</v>
      </c>
      <c r="M7" s="14" t="str">
        <f>IF(I7:I16&gt;4,"Igen","Nem")</f>
        <v>Nem</v>
      </c>
    </row>
    <row r="8" spans="1:13" hidden="1">
      <c r="A8" s="8" t="s">
        <v>20</v>
      </c>
      <c r="B8" s="8" t="s">
        <v>21</v>
      </c>
      <c r="C8" s="2" t="n">
        <v>5</v>
      </c>
      <c r="D8" s="2" t="n">
        <v>5</v>
      </c>
      <c r="E8" s="2" t="n">
        <v>5</v>
      </c>
      <c r="F8" s="2" t="n">
        <v>5</v>
      </c>
      <c r="G8" s="2" t="n">
        <v>5</v>
      </c>
      <c r="H8" s="2" t="n">
        <v>5</v>
      </c>
      <c r="I8" s="9">
        <f>AVERAGE(C8:H8)</f>
        <v>5</v>
      </c>
      <c r="J8" s="2" t="n">
        <v>123</v>
      </c>
      <c r="K8" s="2" t="n">
        <v>14</v>
      </c>
      <c r="L8" s="2">
        <f>SUM(J8:K8)</f>
        <v>137</v>
      </c>
      <c r="M8" s="14" t="str">
        <f>IF(I8:I17&gt;4,"Igen","Nem")</f>
        <v>Igen</v>
      </c>
      <extLst>
        <ext uri="smNativeData">
          <pm:rowDef xmlns:pm="smNativeData" id="1760425330" r="8" hidden="0" collapsedDB="1" collapsedOL="0"/>
        </ext>
      </extLst>
    </row>
    <row r="9" spans="1:13" hidden="1">
      <c r="A9" s="8" t="s">
        <v>22</v>
      </c>
      <c r="B9" s="8" t="s">
        <v>21</v>
      </c>
      <c r="C9" s="2" t="n">
        <v>4</v>
      </c>
      <c r="D9" s="2" t="n">
        <v>2</v>
      </c>
      <c r="E9" s="2" t="n">
        <v>3</v>
      </c>
      <c r="F9" s="2" t="n">
        <v>4</v>
      </c>
      <c r="G9" s="2" t="n">
        <v>4</v>
      </c>
      <c r="H9" s="2" t="n">
        <v>2</v>
      </c>
      <c r="I9" s="9">
        <f>AVERAGE(C9:H9)</f>
        <v>3.16666666666666652</v>
      </c>
      <c r="J9" s="2" t="n">
        <v>98</v>
      </c>
      <c r="K9" s="2" t="n">
        <v>11</v>
      </c>
      <c r="L9" s="2">
        <f>SUM(J9:K9)</f>
        <v>109</v>
      </c>
      <c r="M9" s="14" t="str">
        <f>IF(I9:I18&gt;4,"Igen","Nem")</f>
        <v>Nem</v>
      </c>
      <extLst>
        <ext uri="smNativeData">
          <pm:rowDef xmlns:pm="smNativeData" id="1760425330" r="9" hidden="0" collapsedDB="1" collapsedOL="0"/>
        </ext>
      </extLst>
    </row>
    <row r="10" spans="1:13" hidden="1">
      <c r="A10" s="8" t="s">
        <v>23</v>
      </c>
      <c r="B10" s="8" t="s">
        <v>21</v>
      </c>
      <c r="C10" s="2" t="n">
        <v>4</v>
      </c>
      <c r="D10" s="2" t="n">
        <v>3</v>
      </c>
      <c r="E10" s="2" t="n">
        <v>2</v>
      </c>
      <c r="F10" s="2" t="n">
        <v>5</v>
      </c>
      <c r="G10" s="2" t="n">
        <v>1</v>
      </c>
      <c r="H10" s="2" t="n">
        <v>2</v>
      </c>
      <c r="I10" s="9">
        <f>AVERAGE(C10:H10)</f>
        <v>2.83333333333333357</v>
      </c>
      <c r="J10" s="2" t="n">
        <v>102</v>
      </c>
      <c r="K10" s="2" t="n">
        <v>0</v>
      </c>
      <c r="L10" s="2">
        <f>SUM(J10:K10)</f>
        <v>102</v>
      </c>
      <c r="M10" s="14" t="str">
        <f>IF(I10:I19&gt;4,"Igen","Nem")</f>
        <v>Nem</v>
      </c>
      <extLst>
        <ext uri="smNativeData">
          <pm:rowDef xmlns:pm="smNativeData" id="1760425330" r="10" hidden="0" collapsedDB="1" collapsedOL="0"/>
        </ext>
      </extLst>
    </row>
    <row r="11" spans="1:13" hidden="1">
      <c r="A11" s="8" t="s">
        <v>24</v>
      </c>
      <c r="B11" s="8" t="s">
        <v>21</v>
      </c>
      <c r="C11" s="2" t="n">
        <v>1</v>
      </c>
      <c r="D11" s="2" t="n">
        <v>2</v>
      </c>
      <c r="E11" s="2" t="n">
        <v>2</v>
      </c>
      <c r="F11" s="2" t="n">
        <v>2</v>
      </c>
      <c r="G11" s="2" t="n">
        <v>3</v>
      </c>
      <c r="H11" s="2" t="n">
        <v>2</v>
      </c>
      <c r="I11" s="9">
        <f>AVERAGE(C11:H11)</f>
        <v>2</v>
      </c>
      <c r="J11" s="2" t="n">
        <v>146</v>
      </c>
      <c r="K11" s="2" t="n">
        <v>0</v>
      </c>
      <c r="L11" s="2">
        <f>SUM(J11:K11)</f>
        <v>146</v>
      </c>
      <c r="M11" s="14" t="str">
        <f>IF(I11:I20&gt;4,"Igen","Nem")</f>
        <v>Nem</v>
      </c>
      <extLst>
        <ext uri="smNativeData">
          <pm:rowDef xmlns:pm="smNativeData" id="1760425330" r="11" hidden="0" collapsedDB="1" collapsedOL="0"/>
        </ext>
      </extLst>
    </row>
    <row r="12" spans="1:13" hidden="1">
      <c r="A12" s="8" t="s">
        <v>25</v>
      </c>
      <c r="B12" s="8" t="s">
        <v>26</v>
      </c>
      <c r="C12" s="2" t="n">
        <v>1</v>
      </c>
      <c r="D12" s="2" t="n">
        <v>2</v>
      </c>
      <c r="E12" s="2" t="n">
        <v>2</v>
      </c>
      <c r="F12" s="2" t="n">
        <v>4</v>
      </c>
      <c r="G12" s="2" t="n">
        <v>2</v>
      </c>
      <c r="H12" s="2" t="n">
        <v>4</v>
      </c>
      <c r="I12" s="9">
        <f>AVERAGE(C12:H12)</f>
        <v>2.5</v>
      </c>
      <c r="J12" s="2" t="n">
        <v>149</v>
      </c>
      <c r="K12" s="2" t="n">
        <v>6</v>
      </c>
      <c r="L12" s="2">
        <f>SUM(J12:K12)</f>
        <v>155</v>
      </c>
      <c r="M12" s="14" t="str">
        <f>IF(I12:I21&gt;4,"Igen","Nem")</f>
        <v>Nem</v>
      </c>
      <extLst>
        <ext uri="smNativeData">
          <pm:rowDef xmlns:pm="smNativeData" id="1760425330" r="12" hidden="0" collapsedDB="1" collapsedOL="0"/>
        </ext>
      </extLst>
    </row>
    <row r="13" spans="1:13" hidden="1">
      <c r="A13" s="8" t="s">
        <v>27</v>
      </c>
      <c r="B13" s="8" t="s">
        <v>26</v>
      </c>
      <c r="C13" s="2" t="n">
        <v>2</v>
      </c>
      <c r="D13" s="2" t="n">
        <v>2</v>
      </c>
      <c r="E13" s="2" t="n">
        <v>3</v>
      </c>
      <c r="F13" s="2" t="n">
        <v>4</v>
      </c>
      <c r="G13" s="2" t="n">
        <v>4</v>
      </c>
      <c r="H13" s="2" t="n">
        <v>5</v>
      </c>
      <c r="I13" s="9">
        <f>AVERAGE(C13:H13)</f>
        <v>3.33333333333333348</v>
      </c>
      <c r="J13" s="2" t="n">
        <v>45</v>
      </c>
      <c r="K13" s="2" t="n">
        <v>2</v>
      </c>
      <c r="L13" s="2">
        <f>SUM(J13:K13)</f>
        <v>47</v>
      </c>
      <c r="M13" s="15" t="str">
        <f>IF(I13:I22&gt;4,"Igen","Nem")</f>
        <v>Nem</v>
      </c>
      <extLst>
        <ext uri="smNativeData">
          <pm:rowDef xmlns:pm="smNativeData" id="1760425330" r="13" hidden="0" collapsedDB="1" collapsedOL="0"/>
        </ext>
      </extLst>
    </row>
    <row r="14" spans="1:13" hidden="1">
      <c r="A14" s="8" t="s">
        <v>28</v>
      </c>
      <c r="B14" s="8" t="s">
        <v>26</v>
      </c>
      <c r="C14" s="2" t="n">
        <v>1</v>
      </c>
      <c r="D14" s="2" t="n">
        <v>5</v>
      </c>
      <c r="E14" s="2" t="n">
        <v>4</v>
      </c>
      <c r="F14" s="2" t="n">
        <v>4</v>
      </c>
      <c r="G14" s="2" t="n">
        <v>2</v>
      </c>
      <c r="H14" s="2" t="n">
        <v>5</v>
      </c>
      <c r="I14" s="9">
        <f>AVERAGE(C14:H14)</f>
        <v>3.5</v>
      </c>
      <c r="J14" s="2" t="n">
        <v>0</v>
      </c>
      <c r="K14" s="2" t="n">
        <v>0</v>
      </c>
      <c r="L14" s="1">
        <f>SUM(J14:K14)</f>
        <v>0</v>
      </c>
      <c r="M14" s="14" t="str">
        <f>IF(I14:I23&gt;4,"Igen","Nem")</f>
        <v>Nem</v>
      </c>
      <extLst>
        <ext uri="smNativeData">
          <pm:rowDef xmlns:pm="smNativeData" id="1760425330" r="14" hidden="0" collapsedDB="1" collapsedOL="0"/>
        </ext>
      </extLst>
    </row>
    <row r="15" spans="1:12" hidden="1">
      <c r="A15" s="5" t="s">
        <v>29</v>
      </c>
      <c r="B15" s="2"/>
      <c r="C15" s="2">
        <f>AVERAGE(C$5:C$14)</f>
        <v>2.70000000000000018</v>
      </c>
      <c r="D15" s="2">
        <f>AVERAGE(D$5:D$14)</f>
        <v>2.9</v>
      </c>
      <c r="E15" s="2">
        <f>AVERAGE(E$5:E$14)</f>
        <v>2.79999999999999982</v>
      </c>
      <c r="F15" s="2">
        <f>AVERAGE(F$5:F$14)</f>
        <v>3.5</v>
      </c>
      <c r="G15" s="2">
        <f>AVERAGE(G$5:G$14)</f>
        <v>2.60000000000000009</v>
      </c>
      <c r="H15" s="2">
        <f>AVERAGE(H$5:H$14)</f>
        <v>3.39999999999999991</v>
      </c>
      <c r="I15" s="2">
        <f>AVERAGE(I$5:I$14)</f>
        <v>2.98333333333333339</v>
      </c>
      <c r="J15" s="4"/>
      <c r="K15" s="4"/>
      <c r="L15" s="13"/>
      <extLst>
        <ext uri="smNativeData">
          <pm:rowDef xmlns:pm="smNativeData" id="1760425330" r="15" hidden="0" collapsedDB="1" collapsedOL="0"/>
        </ext>
      </extLst>
    </row>
    <row r="16" spans="1:12" hidden="1">
      <c r="A16" s="5" t="s">
        <v>30</v>
      </c>
      <c r="B16" s="2"/>
      <c r="C16" s="2">
        <f>MAX(C5:C14)</f>
        <v>5</v>
      </c>
      <c r="D16" s="2">
        <f>MAX(D5:D14)</f>
        <v>5</v>
      </c>
      <c r="E16" s="2">
        <f>MAX(E5:E14)</f>
        <v>5</v>
      </c>
      <c r="F16" s="2">
        <f>MAX(F5:F14)</f>
        <v>5</v>
      </c>
      <c r="G16" s="2">
        <f>MAX(G5:G14)</f>
        <v>5</v>
      </c>
      <c r="H16" s="2">
        <f>MAX(H5:H14)</f>
        <v>5</v>
      </c>
      <c r="I16" s="2">
        <f>MAX(I5:I14)</f>
        <v>5</v>
      </c>
      <c r="J16" s="4"/>
      <c r="K16" s="4"/>
      <c r="L16" s="13"/>
      <extLst>
        <ext uri="smNativeData">
          <pm:rowDef xmlns:pm="smNativeData" id="1760425330" r="16" hidden="0" collapsedDB="1" collapsedOL="0"/>
        </ext>
      </extLst>
    </row>
    <row r="17" spans="1:12" hidden="1">
      <c r="A17" s="5" t="s">
        <v>31</v>
      </c>
      <c r="B17" s="2"/>
      <c r="C17" s="2">
        <f>MIN(C5:C14)</f>
        <v>1</v>
      </c>
      <c r="D17" s="2">
        <f>MIN(D5:D14)</f>
        <v>1</v>
      </c>
      <c r="E17" s="2">
        <f>MIN(E5:E14)</f>
        <v>1</v>
      </c>
      <c r="F17" s="2">
        <f>MIN(F5:F14)</f>
        <v>1</v>
      </c>
      <c r="G17" s="2">
        <f>MIN(G5:G14)</f>
        <v>1</v>
      </c>
      <c r="H17" s="2">
        <f>MIN(H5:H14)</f>
        <v>1</v>
      </c>
      <c r="I17" s="2">
        <f>MIN(I5:I14)</f>
        <v>2</v>
      </c>
      <c r="J17" s="4"/>
      <c r="K17" s="4"/>
      <c r="L17" s="13"/>
      <extLst>
        <ext uri="smNativeData">
          <pm:rowDef xmlns:pm="smNativeData" id="1760425330" r="17" hidden="0" collapsedDB="1" collapsedOL="0"/>
        </ext>
      </extLst>
    </row>
    <row r="19" spans="1:3">
      <c r="A19" s="3" t="s">
        <v>32</v>
      </c>
      <c r="B19" s="3"/>
      <c r="C19" s="2">
        <f>MIN(C5:C14)</f>
        <v>1</v>
      </c>
    </row>
    <row r="20" spans="1:3">
      <c r="A20" s="3" t="s">
        <v>33</v>
      </c>
      <c r="B20" s="3"/>
      <c r="C20" s="2">
        <f>MIN(C15:H15)</f>
        <v>2.60000000000000009</v>
      </c>
    </row>
    <row r="21" spans="1:3">
      <c r="A21" s="3" t="s">
        <v>34</v>
      </c>
      <c r="B21" s="3"/>
      <c r="C21" s="2">
        <f>MAX(L5:L14)</f>
        <v>246</v>
      </c>
    </row>
    <row r="22" spans="1:3">
      <c r="A22" s="3" t="s">
        <v>35</v>
      </c>
      <c r="B22" s="3"/>
      <c r="C22" s="2">
        <f>MIN(J5:J14)</f>
        <v>0</v>
      </c>
    </row>
    <row r="23" spans="1:3">
      <c r="A23" s="3" t="s">
        <v>36</v>
      </c>
      <c r="B23" s="3"/>
      <c r="C23" s="2">
        <f>MAX(K5:K14)</f>
        <v>16</v>
      </c>
    </row>
    <row r="24" spans="1:3">
      <c r="A24" s="3" t="s">
        <v>37</v>
      </c>
      <c r="B24" s="3"/>
      <c r="C24" s="2">
        <f>SUM(J5:J14)</f>
        <v>992</v>
      </c>
    </row>
    <row r="25" spans="1:3">
      <c r="A25" s="3" t="s">
        <v>38</v>
      </c>
      <c r="B25" s="3"/>
      <c r="C25" s="2">
        <f>SUM(K5:K14)</f>
        <v>56</v>
      </c>
    </row>
    <row r="26" spans="1:3">
      <c r="A26" s="3" t="s">
        <v>39</v>
      </c>
      <c r="B26" s="3"/>
      <c r="C26" s="2">
        <f>SUM(C24:C25)</f>
        <v>1048</v>
      </c>
    </row>
  </sheetData>
  <autoFilter ref="A5:B17">
    <filterColumn colId="1">
      <filters>
        <filter val="9.A"/>
      </filters>
    </filterColumn>
  </autoFilter>
  <mergeCells count="16">
    <mergeCell ref="A1:M2"/>
    <mergeCell ref="C3:I3"/>
    <mergeCell ref="J3:L3"/>
    <mergeCell ref="A3:A4"/>
    <mergeCell ref="B3:B4"/>
    <mergeCell ref="A15:B15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>
    <extLst>
      <ext uri="smNativeData">
        <pm:pageFlags xmlns:pm="smNativeData" id="176042533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0425330" l="56" r="56" t="56" b="56" borderId="0" fillId="0" vertical="0"/>
        <pm:footer xmlns:pm="smNativeData" id="1760425330" l="56" r="56" t="56" b="56" borderId="0" fillId="0" vertical="2"/>
        <pm:paperBin xmlns:pm="smNativeData" id="1760425330" Id="0" type="0" value="0"/>
        <pm:paperBin xmlns:pm="smNativeData" id="1760425330" Id="1" type="0" value="0"/>
      </ext>
    </extLst>
  </headerFooter>
  <extLst>
    <ext uri="smNativeData">
      <pm:sheetPrefs xmlns:pm="smNativeData" day="176042533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M26"/>
  <sheetViews>
    <sheetView tabSelected="1" view="normal" topLeftCell="A25" workbookViewId="0">
      <selection activeCell="A28" sqref="A28"/>
    </sheetView>
  </sheetViews>
  <sheetFormatPr baseColWidth="9" defaultColWidth="10.000000" defaultRowHeight="13.45"/>
  <sheetData>
    <row r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7" t="s">
        <v>1</v>
      </c>
      <c r="B3" s="7" t="s">
        <v>2</v>
      </c>
      <c r="C3" s="7" t="s">
        <v>3</v>
      </c>
      <c r="D3" s="7"/>
      <c r="E3" s="7"/>
      <c r="F3" s="7"/>
      <c r="G3" s="7"/>
      <c r="H3" s="7"/>
      <c r="I3" s="7"/>
      <c r="J3" s="7" t="s">
        <v>4</v>
      </c>
      <c r="K3" s="7"/>
      <c r="L3" s="7"/>
      <c r="M3" s="7"/>
    </row>
    <row r="4" spans="1:13">
      <c r="A4" s="7"/>
      <c r="B4" s="7"/>
      <c r="C4" s="7" t="s">
        <v>5</v>
      </c>
      <c r="D4" s="7" t="s">
        <v>6</v>
      </c>
      <c r="E4" s="10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</row>
    <row r="5" spans="1:13" hidden="1">
      <c r="A5" s="8" t="s">
        <v>16</v>
      </c>
      <c r="B5" s="8" t="s">
        <v>17</v>
      </c>
      <c r="C5" s="2" t="n">
        <v>2</v>
      </c>
      <c r="D5" s="2" t="n">
        <v>4</v>
      </c>
      <c r="E5" s="2" t="n">
        <v>1</v>
      </c>
      <c r="F5" s="2" t="n">
        <v>2</v>
      </c>
      <c r="G5" s="2" t="n">
        <v>1</v>
      </c>
      <c r="H5" s="2" t="n">
        <v>3</v>
      </c>
      <c r="I5" s="9">
        <f>AVERAGE(C5:H5)</f>
        <v>2.16666666666666652</v>
      </c>
      <c r="J5" s="2" t="n">
        <v>230</v>
      </c>
      <c r="K5" s="2" t="n">
        <v>16</v>
      </c>
      <c r="L5" s="2">
        <f>SUM(J5:K5)</f>
        <v>246</v>
      </c>
      <c r="M5" s="14" t="str">
        <f>IF(I5:I14&gt;4,"Igen","Nem")</f>
        <v>Nem</v>
      </c>
      <extLst>
        <ext uri="smNativeData">
          <pm:rowDef xmlns:pm="smNativeData" id="1760425330" r="5" hidden="0" collapsedDB="1" collapsedOL="0"/>
        </ext>
      </extLst>
    </row>
    <row r="6" spans="1:13" hidden="1">
      <c r="A6" s="8" t="s">
        <v>18</v>
      </c>
      <c r="B6" s="8" t="s">
        <v>17</v>
      </c>
      <c r="C6" s="2" t="n">
        <v>4</v>
      </c>
      <c r="D6" s="2" t="n">
        <v>1</v>
      </c>
      <c r="E6" s="2" t="n">
        <v>4</v>
      </c>
      <c r="F6" s="2" t="n">
        <v>1</v>
      </c>
      <c r="G6" s="2" t="n">
        <v>2</v>
      </c>
      <c r="H6" s="2" t="n">
        <v>5</v>
      </c>
      <c r="I6" s="9">
        <f>AVERAGE(C6:H6)</f>
        <v>2.83333333333333357</v>
      </c>
      <c r="J6" s="2" t="n">
        <v>65</v>
      </c>
      <c r="K6" s="2" t="n">
        <v>0</v>
      </c>
      <c r="L6" s="2">
        <f>SUM(J6:K6)</f>
        <v>65</v>
      </c>
      <c r="M6" s="14" t="str">
        <f>IF(I6:I15&gt;4,"Igen","Nem")</f>
        <v>Nem</v>
      </c>
      <extLst>
        <ext uri="smNativeData">
          <pm:rowDef xmlns:pm="smNativeData" id="1760425330" r="6" hidden="0" collapsedDB="1" collapsedOL="0"/>
        </ext>
      </extLst>
    </row>
    <row r="7" spans="1:13" hidden="1">
      <c r="A7" s="8" t="s">
        <v>19</v>
      </c>
      <c r="B7" s="8" t="s">
        <v>17</v>
      </c>
      <c r="C7" s="2" t="n">
        <v>3</v>
      </c>
      <c r="D7" s="2" t="n">
        <v>3</v>
      </c>
      <c r="E7" s="2" t="n">
        <v>2</v>
      </c>
      <c r="F7" s="2" t="n">
        <v>4</v>
      </c>
      <c r="G7" s="2" t="n">
        <v>2</v>
      </c>
      <c r="H7" s="2" t="n">
        <v>1</v>
      </c>
      <c r="I7" s="9">
        <f>AVERAGE(C7:H7)</f>
        <v>2.5</v>
      </c>
      <c r="J7" s="2" t="n">
        <v>34</v>
      </c>
      <c r="K7" s="2" t="n">
        <v>7</v>
      </c>
      <c r="L7" s="2">
        <f>SUM(J7:K7)</f>
        <v>41</v>
      </c>
      <c r="M7" s="14" t="str">
        <f>IF(I7:I16&gt;4,"Igen","Nem")</f>
        <v>Nem</v>
      </c>
      <extLst>
        <ext uri="smNativeData">
          <pm:rowDef xmlns:pm="smNativeData" id="1760425330" r="7" hidden="0" collapsedDB="1" collapsedOL="0"/>
        </ext>
      </extLst>
    </row>
    <row r="8" spans="1:13">
      <c r="A8" s="8" t="s">
        <v>20</v>
      </c>
      <c r="B8" s="8" t="s">
        <v>21</v>
      </c>
      <c r="C8" s="2" t="n">
        <v>5</v>
      </c>
      <c r="D8" s="2" t="n">
        <v>5</v>
      </c>
      <c r="E8" s="2" t="n">
        <v>5</v>
      </c>
      <c r="F8" s="2" t="n">
        <v>5</v>
      </c>
      <c r="G8" s="2" t="n">
        <v>5</v>
      </c>
      <c r="H8" s="2" t="n">
        <v>5</v>
      </c>
      <c r="I8" s="9">
        <f>AVERAGE(C8:H8)</f>
        <v>5</v>
      </c>
      <c r="J8" s="2" t="n">
        <v>123</v>
      </c>
      <c r="K8" s="2" t="n">
        <v>14</v>
      </c>
      <c r="L8" s="2">
        <f>SUM(J8:K8)</f>
        <v>137</v>
      </c>
      <c r="M8" s="14" t="str">
        <f>IF(I8:I17&gt;4,"Igen","Nem")</f>
        <v>Igen</v>
      </c>
    </row>
    <row r="9" spans="1:13" hidden="1">
      <c r="A9" s="8" t="s">
        <v>22</v>
      </c>
      <c r="B9" s="8" t="s">
        <v>21</v>
      </c>
      <c r="C9" s="2" t="n">
        <v>4</v>
      </c>
      <c r="D9" s="2" t="n">
        <v>2</v>
      </c>
      <c r="E9" s="2" t="n">
        <v>3</v>
      </c>
      <c r="F9" s="2" t="n">
        <v>4</v>
      </c>
      <c r="G9" s="2" t="n">
        <v>4</v>
      </c>
      <c r="H9" s="2" t="n">
        <v>2</v>
      </c>
      <c r="I9" s="9">
        <f>AVERAGE(C9:H9)</f>
        <v>3.16666666666666652</v>
      </c>
      <c r="J9" s="2" t="n">
        <v>98</v>
      </c>
      <c r="K9" s="2" t="n">
        <v>11</v>
      </c>
      <c r="L9" s="2">
        <f>SUM(J9:K9)</f>
        <v>109</v>
      </c>
      <c r="M9" s="14" t="str">
        <f>IF(I9:I18&gt;4,"Igen","Nem")</f>
        <v>Nem</v>
      </c>
      <extLst>
        <ext uri="smNativeData">
          <pm:rowDef xmlns:pm="smNativeData" id="1760425330" r="9" hidden="0" collapsedDB="1" collapsedOL="0"/>
        </ext>
      </extLst>
    </row>
    <row r="10" spans="1:13">
      <c r="A10" s="8" t="s">
        <v>23</v>
      </c>
      <c r="B10" s="8" t="s">
        <v>21</v>
      </c>
      <c r="C10" s="2" t="n">
        <v>4</v>
      </c>
      <c r="D10" s="2" t="n">
        <v>3</v>
      </c>
      <c r="E10" s="2" t="n">
        <v>2</v>
      </c>
      <c r="F10" s="2" t="n">
        <v>5</v>
      </c>
      <c r="G10" s="2" t="n">
        <v>1</v>
      </c>
      <c r="H10" s="2" t="n">
        <v>2</v>
      </c>
      <c r="I10" s="9">
        <f>AVERAGE(C10:H10)</f>
        <v>2.83333333333333357</v>
      </c>
      <c r="J10" s="2" t="n">
        <v>102</v>
      </c>
      <c r="K10" s="2" t="n">
        <v>0</v>
      </c>
      <c r="L10" s="2">
        <f>SUM(J10:K10)</f>
        <v>102</v>
      </c>
      <c r="M10" s="14" t="str">
        <f>IF(I10:I19&gt;4,"Igen","Nem")</f>
        <v>Nem</v>
      </c>
    </row>
    <row r="11" spans="1:13">
      <c r="A11" s="8" t="s">
        <v>24</v>
      </c>
      <c r="B11" s="8" t="s">
        <v>21</v>
      </c>
      <c r="C11" s="2" t="n">
        <v>1</v>
      </c>
      <c r="D11" s="2" t="n">
        <v>2</v>
      </c>
      <c r="E11" s="2" t="n">
        <v>2</v>
      </c>
      <c r="F11" s="2" t="n">
        <v>2</v>
      </c>
      <c r="G11" s="2" t="n">
        <v>3</v>
      </c>
      <c r="H11" s="2" t="n">
        <v>2</v>
      </c>
      <c r="I11" s="9">
        <f>AVERAGE(C11:H11)</f>
        <v>2</v>
      </c>
      <c r="J11" s="2" t="n">
        <v>146</v>
      </c>
      <c r="K11" s="2" t="n">
        <v>0</v>
      </c>
      <c r="L11" s="2">
        <f>SUM(J11:K11)</f>
        <v>146</v>
      </c>
      <c r="M11" s="14" t="str">
        <f>IF(I11:I20&gt;4,"Igen","Nem")</f>
        <v>Nem</v>
      </c>
    </row>
    <row r="12" spans="1:13">
      <c r="A12" s="8" t="s">
        <v>25</v>
      </c>
      <c r="B12" s="8" t="s">
        <v>26</v>
      </c>
      <c r="C12" s="2" t="n">
        <v>1</v>
      </c>
      <c r="D12" s="2" t="n">
        <v>2</v>
      </c>
      <c r="E12" s="2" t="n">
        <v>2</v>
      </c>
      <c r="F12" s="2" t="n">
        <v>4</v>
      </c>
      <c r="G12" s="2" t="n">
        <v>2</v>
      </c>
      <c r="H12" s="2" t="n">
        <v>4</v>
      </c>
      <c r="I12" s="9">
        <f>AVERAGE(C12:H12)</f>
        <v>2.5</v>
      </c>
      <c r="J12" s="2" t="n">
        <v>149</v>
      </c>
      <c r="K12" s="2" t="n">
        <v>6</v>
      </c>
      <c r="L12" s="2">
        <f>SUM(J12:K12)</f>
        <v>155</v>
      </c>
      <c r="M12" s="14" t="str">
        <f>IF(I12:I21&gt;4,"Igen","Nem")</f>
        <v>Nem</v>
      </c>
    </row>
    <row r="13" spans="1:13" hidden="1">
      <c r="A13" s="8" t="s">
        <v>27</v>
      </c>
      <c r="B13" s="8" t="s">
        <v>26</v>
      </c>
      <c r="C13" s="2" t="n">
        <v>2</v>
      </c>
      <c r="D13" s="2" t="n">
        <v>2</v>
      </c>
      <c r="E13" s="2" t="n">
        <v>3</v>
      </c>
      <c r="F13" s="2" t="n">
        <v>4</v>
      </c>
      <c r="G13" s="2" t="n">
        <v>4</v>
      </c>
      <c r="H13" s="2" t="n">
        <v>5</v>
      </c>
      <c r="I13" s="9">
        <f>AVERAGE(C13:H13)</f>
        <v>3.33333333333333348</v>
      </c>
      <c r="J13" s="2" t="n">
        <v>45</v>
      </c>
      <c r="K13" s="2" t="n">
        <v>2</v>
      </c>
      <c r="L13" s="2">
        <f>SUM(J13:K13)</f>
        <v>47</v>
      </c>
      <c r="M13" s="15" t="str">
        <f>IF(I13:I22&gt;4,"Igen","Nem")</f>
        <v>Nem</v>
      </c>
      <extLst>
        <ext uri="smNativeData">
          <pm:rowDef xmlns:pm="smNativeData" id="1760425330" r="13" hidden="0" collapsedDB="1" collapsedOL="0"/>
        </ext>
      </extLst>
    </row>
    <row r="14" spans="1:13" hidden="1">
      <c r="A14" s="8" t="s">
        <v>28</v>
      </c>
      <c r="B14" s="8" t="s">
        <v>26</v>
      </c>
      <c r="C14" s="2" t="n">
        <v>1</v>
      </c>
      <c r="D14" s="2" t="n">
        <v>5</v>
      </c>
      <c r="E14" s="2" t="n">
        <v>4</v>
      </c>
      <c r="F14" s="2" t="n">
        <v>4</v>
      </c>
      <c r="G14" s="2" t="n">
        <v>2</v>
      </c>
      <c r="H14" s="2" t="n">
        <v>5</v>
      </c>
      <c r="I14" s="9">
        <f>AVERAGE(C14:H14)</f>
        <v>3.5</v>
      </c>
      <c r="J14" s="2" t="n">
        <v>0</v>
      </c>
      <c r="K14" s="2" t="n">
        <v>0</v>
      </c>
      <c r="L14" s="1">
        <f>SUM(J14:K14)</f>
        <v>0</v>
      </c>
      <c r="M14" s="14" t="str">
        <f>IF(I14:I23&gt;4,"Igen","Nem")</f>
        <v>Nem</v>
      </c>
      <extLst>
        <ext uri="smNativeData">
          <pm:rowDef xmlns:pm="smNativeData" id="1760425330" r="14" hidden="0" collapsedDB="1" collapsedOL="0"/>
        </ext>
      </extLst>
    </row>
    <row r="15" spans="1:12">
      <c r="A15" s="5" t="s">
        <v>29</v>
      </c>
      <c r="B15" s="2"/>
      <c r="C15" s="2">
        <f>AVERAGE(C$5:C$14)</f>
        <v>2.70000000000000018</v>
      </c>
      <c r="D15" s="2">
        <f>AVERAGE(D$5:D$14)</f>
        <v>2.9</v>
      </c>
      <c r="E15" s="2">
        <f>AVERAGE(E$5:E$14)</f>
        <v>2.79999999999999982</v>
      </c>
      <c r="F15" s="2">
        <f>AVERAGE(F$5:F$14)</f>
        <v>3.5</v>
      </c>
      <c r="G15" s="2">
        <f>AVERAGE(G$5:G$14)</f>
        <v>2.60000000000000009</v>
      </c>
      <c r="H15" s="2">
        <f>AVERAGE(H$5:H$14)</f>
        <v>3.39999999999999991</v>
      </c>
      <c r="I15" s="2">
        <f>AVERAGE(I$5:I$14)</f>
        <v>2.98333333333333339</v>
      </c>
      <c r="J15" s="4"/>
      <c r="K15" s="4"/>
      <c r="L15" s="13"/>
    </row>
    <row r="16" spans="1:12">
      <c r="A16" s="5" t="s">
        <v>30</v>
      </c>
      <c r="B16" s="2"/>
      <c r="C16" s="2">
        <f>MAX(C5:C14)</f>
        <v>5</v>
      </c>
      <c r="D16" s="2">
        <f>MAX(D5:D14)</f>
        <v>5</v>
      </c>
      <c r="E16" s="2">
        <f>MAX(E5:E14)</f>
        <v>5</v>
      </c>
      <c r="F16" s="2">
        <f>MAX(F5:F14)</f>
        <v>5</v>
      </c>
      <c r="G16" s="2">
        <f>MAX(G5:G14)</f>
        <v>5</v>
      </c>
      <c r="H16" s="2">
        <f>MAX(H5:H14)</f>
        <v>5</v>
      </c>
      <c r="I16" s="2">
        <f>MAX(I5:I14)</f>
        <v>5</v>
      </c>
      <c r="J16" s="4"/>
      <c r="K16" s="4"/>
      <c r="L16" s="13"/>
    </row>
    <row r="17" spans="1:12">
      <c r="A17" s="5" t="s">
        <v>31</v>
      </c>
      <c r="B17" s="2"/>
      <c r="C17" s="2">
        <f>MIN(C5:C14)</f>
        <v>1</v>
      </c>
      <c r="D17" s="2">
        <f>MIN(D5:D14)</f>
        <v>1</v>
      </c>
      <c r="E17" s="2">
        <f>MIN(E5:E14)</f>
        <v>1</v>
      </c>
      <c r="F17" s="2">
        <f>MIN(F5:F14)</f>
        <v>1</v>
      </c>
      <c r="G17" s="2">
        <f>MIN(G5:G14)</f>
        <v>1</v>
      </c>
      <c r="H17" s="2">
        <f>MIN(H5:H14)</f>
        <v>1</v>
      </c>
      <c r="I17" s="2">
        <f>MIN(I5:I14)</f>
        <v>2</v>
      </c>
      <c r="J17" s="4"/>
      <c r="K17" s="4"/>
      <c r="L17" s="13"/>
    </row>
    <row r="19" spans="1:3">
      <c r="A19" s="3" t="s">
        <v>32</v>
      </c>
      <c r="B19" s="3"/>
      <c r="C19" s="2">
        <f>MIN(C5:C14)</f>
        <v>1</v>
      </c>
    </row>
    <row r="20" spans="1:3">
      <c r="A20" s="3" t="s">
        <v>33</v>
      </c>
      <c r="B20" s="3"/>
      <c r="C20" s="2">
        <f>MIN(C15:H15)</f>
        <v>2.60000000000000009</v>
      </c>
    </row>
    <row r="21" spans="1:3">
      <c r="A21" s="3" t="s">
        <v>34</v>
      </c>
      <c r="B21" s="3"/>
      <c r="C21" s="2">
        <f>MAX(L5:L14)</f>
        <v>246</v>
      </c>
    </row>
    <row r="22" spans="1:3">
      <c r="A22" s="3" t="s">
        <v>35</v>
      </c>
      <c r="B22" s="3"/>
      <c r="C22" s="2">
        <f>MIN(J5:J14)</f>
        <v>0</v>
      </c>
    </row>
    <row r="23" spans="1:3">
      <c r="A23" s="3" t="s">
        <v>36</v>
      </c>
      <c r="B23" s="3"/>
      <c r="C23" s="2">
        <f>MAX(K5:K14)</f>
        <v>16</v>
      </c>
    </row>
    <row r="24" spans="1:3">
      <c r="A24" s="3" t="s">
        <v>37</v>
      </c>
      <c r="B24" s="3"/>
      <c r="C24" s="2">
        <f>SUM(J5:J14)</f>
        <v>992</v>
      </c>
    </row>
    <row r="25" spans="1:3">
      <c r="A25" s="3" t="s">
        <v>38</v>
      </c>
      <c r="B25" s="3"/>
      <c r="C25" s="2">
        <f>SUM(K5:K14)</f>
        <v>56</v>
      </c>
    </row>
    <row r="26" spans="1:3">
      <c r="A26" s="3" t="s">
        <v>39</v>
      </c>
      <c r="B26" s="3"/>
      <c r="C26" s="2">
        <f>SUM(C24:C25)</f>
        <v>1048</v>
      </c>
    </row>
  </sheetData>
  <autoFilter ref="J4:J14">
    <filterColumn colId="0">
      <customFilters and="1">
        <customFilter operator="greaterThanOrEqual" val="100"/>
        <customFilter operator="lessThanOrEqual" val="200"/>
      </customFilters>
    </filterColumn>
  </autoFilter>
  <mergeCells count="16">
    <mergeCell ref="A1:M2"/>
    <mergeCell ref="C3:I3"/>
    <mergeCell ref="J3:L3"/>
    <mergeCell ref="A3:A4"/>
    <mergeCell ref="B3:B4"/>
    <mergeCell ref="A15:B15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>
    <extLst>
      <ext uri="smNativeData">
        <pm:pageFlags xmlns:pm="smNativeData" id="176042533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0425330" l="56" r="56" t="56" b="56" borderId="0" fillId="0" vertical="0"/>
        <pm:footer xmlns:pm="smNativeData" id="1760425330" l="56" r="56" t="56" b="56" borderId="0" fillId="0" vertical="2"/>
        <pm:paperBin xmlns:pm="smNativeData" id="1760425330" Id="0" type="0" value="0"/>
        <pm:paperBin xmlns:pm="smNativeData" id="1760425330" Id="1" type="0" value="0"/>
      </ext>
    </extLst>
  </headerFooter>
  <extLst>
    <ext uri="smNativeData">
      <pm:sheetPrefs xmlns:pm="smNativeData" day="176042533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ritzo</cp:lastModifiedBy>
  <cp:revision>0</cp:revision>
  <dcterms:created xsi:type="dcterms:W3CDTF">2025-10-14T06:16:19Z</dcterms:created>
  <dcterms:modified xsi:type="dcterms:W3CDTF">2025-10-14T07:02:10Z</dcterms:modified>
</cp:coreProperties>
</file>