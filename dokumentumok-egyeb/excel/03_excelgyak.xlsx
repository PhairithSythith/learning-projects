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6" xWindow="240" yWindow="60" windowWidth="15180" windowHeight="8835" tabRatio="500"/>
  </bookViews>
  <sheets>
    <sheet name="feladat" sheetId="1" r:id="rId4"/>
    <sheet name="FKERES" sheetId="2" r:id="rId5"/>
    <sheet name="VKERES" sheetId="3" r:id="rId6"/>
    <sheet name="KERES" sheetId="4" r:id="rId7"/>
    <sheet name="HOL.VAN" sheetId="5" r:id="rId8"/>
    <sheet name="INDEX" sheetId="6" r:id="rId9"/>
    <sheet name="HOL.VAN-INDEX" sheetId="7" r:id="rId10"/>
  </sheets>
  <calcPr/>
  <extLst>
    <ext uri="smNativeData">
      <pm:revision xmlns:pm="smNativeData" day="1761637925" val="1228" rev="124" revOS="4" revMin="124" revMax="0"/>
      <pm:docPrefs xmlns:pm="smNativeData" id="1761637925" fixedDigits="0" showNotice="1" showFrameBounds="1" autoChart="1" recalcOnPrint="1" recalcOnCopy="1" finalRounding="1" compatTextArt="1" tab="567" useDefinedPrintRange="1" printArea="currentSheet"/>
      <pm:compatibility xmlns:pm="smNativeData" id="1761637925" overlapCells="1"/>
      <pm:defCurrency xmlns:pm="smNativeData" id="1761637925"/>
    </ext>
  </extLst>
</workbook>
</file>

<file path=xl/sharedStrings.xml><?xml version="1.0" encoding="utf-8"?>
<sst xmlns="http://schemas.openxmlformats.org/spreadsheetml/2006/main" count="175" uniqueCount="77">
  <si>
    <t>Részfeladatok:</t>
  </si>
  <si>
    <t>Az adott lapon a mnukalap nevében szereplő FÜGGVÉNYT használja!</t>
  </si>
  <si>
    <t>1. FKERES munkalap</t>
  </si>
  <si>
    <t>A B1-es, sárga cellában megadott szám szerint írja ki a felső táblázat H oszlopának tartalmát függvénnyel a B6-os cellába!</t>
  </si>
  <si>
    <t>8 pont</t>
  </si>
  <si>
    <t>A B9-es, sárga cellában megadott szám szerint írja ki a középső táblázat H oszlopának tartalmát függvénnyel a B14-es cellába!</t>
  </si>
  <si>
    <t>A C17-ös cellában tetszőlegesen megadott macska, C18-asban megadott korát/súlyát/színét számítsuk ki képlettel a C19-es cellába! Segédcella az oszlopválasztáshoz tehát: C18</t>
  </si>
  <si>
    <t>2. VKERES munkalap</t>
  </si>
  <si>
    <t>A feladat hasonló az előzőhöz, csak az adattömbök állása más!</t>
  </si>
  <si>
    <t>6 pont</t>
  </si>
  <si>
    <t>A sárga cellák szerint írassa ki a vastagított cellákba az értékeket!</t>
  </si>
  <si>
    <t>A M1-s cellában tetszőlegesen megadott macska, M2-sban megadott korát/súlyát/színét számítsuk ki képlettel a M3-s cellába! Segédcella a sorválasztáshoz tehát: M2</t>
  </si>
  <si>
    <t>3. KERES munkalap</t>
  </si>
  <si>
    <t>A sárga cellákban megadott értékektől függően a KERES fgv használatával adja meg a kérdésekre a választ a sárga cellákhoz legközelebb eső táblák segítségével! Az eredményt, ahogy eddig is, a vastagított cellákba számítsa!</t>
  </si>
  <si>
    <t>4. HOL.VAN munkalap</t>
  </si>
  <si>
    <t>A vastagított cellákba határozza meg a sárga cellákban megadott értékek helyét a hozzájuk legközelebb eső táblák alapján!</t>
  </si>
  <si>
    <t>5. INDEX munkalap</t>
  </si>
  <si>
    <t>Mi van az F oszlopban a C2-ben megadható sorindexen? Adja meg a D3-ban!</t>
  </si>
  <si>
    <t>Adja meg a D10-es cellába, hogy a nagyobb táblában mi van a B9 és B10-es cellákban megadható, "soradik-oszlopadik" helyen!</t>
  </si>
  <si>
    <t>6. HOL.VAN-INDEX munkalap</t>
  </si>
  <si>
    <t>Összetett feladat 4. és 5. feladat alapján!</t>
  </si>
  <si>
    <t>12 pont</t>
  </si>
  <si>
    <t>a</t>
  </si>
  <si>
    <t>f</t>
  </si>
  <si>
    <t>FKERES</t>
  </si>
  <si>
    <t>b</t>
  </si>
  <si>
    <t>g</t>
  </si>
  <si>
    <t>Milyen betű tartozik a számhoz</t>
  </si>
  <si>
    <t>c</t>
  </si>
  <si>
    <t>h</t>
  </si>
  <si>
    <t>a 3. oszlopból?</t>
  </si>
  <si>
    <t>d</t>
  </si>
  <si>
    <t>i</t>
  </si>
  <si>
    <t>e</t>
  </si>
  <si>
    <t>j</t>
  </si>
  <si>
    <t>k</t>
  </si>
  <si>
    <t>p</t>
  </si>
  <si>
    <t>l</t>
  </si>
  <si>
    <t>q</t>
  </si>
  <si>
    <t>m</t>
  </si>
  <si>
    <t>r</t>
  </si>
  <si>
    <t>a G oszlopból?</t>
  </si>
  <si>
    <t>n</t>
  </si>
  <si>
    <t>s</t>
  </si>
  <si>
    <t>o</t>
  </si>
  <si>
    <t>t</t>
  </si>
  <si>
    <t>Melyik macska?</t>
  </si>
  <si>
    <t>borz</t>
  </si>
  <si>
    <t>Név</t>
  </si>
  <si>
    <t>Kor</t>
  </si>
  <si>
    <t>Súly</t>
  </si>
  <si>
    <t>Szín</t>
  </si>
  <si>
    <t>Melyik oszlop?</t>
  </si>
  <si>
    <t>Borz</t>
  </si>
  <si>
    <t>Fekete</t>
  </si>
  <si>
    <t>Imposztor</t>
  </si>
  <si>
    <t>Mokka</t>
  </si>
  <si>
    <t>Tarka</t>
  </si>
  <si>
    <t>Milyen betű tartozik a számhoz?</t>
  </si>
  <si>
    <t>VKERES</t>
  </si>
  <si>
    <t>Melyik sor?</t>
  </si>
  <si>
    <t>fekete</t>
  </si>
  <si>
    <t>tarka</t>
  </si>
  <si>
    <t>KERES</t>
  </si>
  <si>
    <t>Keresés a 3. oszlopból</t>
  </si>
  <si>
    <t>Milyen betű tartozik a számhoz az A oszlopból?</t>
  </si>
  <si>
    <t>Hanyadik cellában van?</t>
  </si>
  <si>
    <t>HOL.VAN</t>
  </si>
  <si>
    <t>Mi van ebben a cellában?</t>
  </si>
  <si>
    <t>sor</t>
  </si>
  <si>
    <t>INDEX</t>
  </si>
  <si>
    <t>oszlop</t>
  </si>
  <si>
    <t>u</t>
  </si>
  <si>
    <t>v</t>
  </si>
  <si>
    <t>Mi van ebben a cellában az 1. sorban?</t>
  </si>
  <si>
    <t>Hanyadik cellában van az érték a 3. oszlopban?</t>
  </si>
  <si>
    <t>Mi van ebben a cellában a 2. oszloban?</t>
  </si>
</sst>
</file>

<file path=xl/styles.xml><?xml version="1.0" encoding="utf-8"?>
<styleSheet xmlns="http://schemas.openxmlformats.org/spreadsheetml/2006/main">
  <numFmts count="8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</numFmts>
  <fonts count="2">
    <font>
      <name val="Arial"/>
      <charset val="238"/>
      <family val="2"/>
      <color rgb="FF000000"/>
      <sz val="10"/>
      <extLst>
        <ext uri="smNativeData">
          <pm:charSpec xmlns:pm="smNativeData" id="1761637925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charset val="238"/>
      <family val="2"/>
      <b/>
      <i/>
      <color rgb="FF000000"/>
      <sz val="16"/>
      <extLst>
        <ext uri="smNativeData">
          <pm:charSpec xmlns:pm="smNativeData" id="1761637925" ulstyle="none" kern="1">
            <pm:latin face="Arial" sz="320" lang="default" weight="bold" i="1"/>
            <pm:cs face="Times New Roman" sz="320" lang="default" weight="bold" i="1"/>
            <pm:ea face="SimSun" sz="320" lang="default" weight="bold" i="1"/>
          </pm:charSpec>
        </ext>
      </extLst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1637925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1637925" type="1" fgLvl="100" fgClr="00FFFF00" bgLvl="0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61637925" type="1" fgLvl="100" fgClr="00FF00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61637925" type="1" fgLvl="100" fgClr="0000FF00" bgLvl="0" bgClr="00000000"/>
          </ext>
        </extLst>
      </patternFill>
    </fill>
    <fill>
      <patternFill patternType="solid">
        <fgColor rgb="FF92D050"/>
        <bgColor rgb="FFFFFFFF"/>
        <extLst>
          <ext uri="smNativeData">
            <pm:shade xmlns:pm="smNativeData" id="1761637925" type="1" fgLvl="100" fgClr="0092D050" bgLvl="0" bgClr="00000000"/>
          </ext>
        </extLst>
      </patternFill>
    </fill>
    <fill>
      <patternFill patternType="solid">
        <fgColor rgb="FF00B0F0"/>
        <bgColor rgb="FFFFFFFF"/>
        <extLst>
          <ext uri="smNativeData">
            <pm:shade xmlns:pm="smNativeData" id="1761637925" type="1" fgLvl="100" fgClr="0000B0F0" bgLvl="0" bgClr="00000000"/>
          </ext>
        </extLst>
      </patternFill>
    </fill>
    <fill>
      <patternFill patternType="none"/>
    </fill>
    <fill>
      <patternFill patternType="solid">
        <fgColor rgb="FFFF0000"/>
        <bgColor rgb="FFFFFFFF"/>
        <extLst>
          <ext uri="smNativeData">
            <pm:shade xmlns:pm="smNativeData" id="1761637925" type="1" fgLvl="100" fgClr="00FF0000" bgLvl="0" bgClr="00000000"/>
          </ext>
        </extLst>
      </patternFill>
    </fill>
    <fill>
      <patternFill patternType="none"/>
    </fill>
    <fill>
      <patternFill patternType="solid">
        <fgColor rgb="FFDDD9C4"/>
        <bgColor rgb="FFFFFFFF"/>
        <extLst>
          <ext uri="smNativeData">
            <pm:shade xmlns:pm="smNativeData" id="1761637925" type="1" fgLvl="100" fgClr="00DDD9C4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1637925" type="1" fgLvl="100" fgClr="00FFFFFF" bgLvl="100" bgClr="00000000"/>
          </ext>
        </extLst>
      </patternFill>
    </fill>
  </fills>
  <borders count="1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63792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63792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extLst>
        <ext uri="smNativeData">
          <pm:border xmlns:pm="smNativeData" id="1761637925">
            <pm:line position="top" type="1" style="0" width="3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1637925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1637925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1637925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3" borderId="2" xfId="0" applyFill="1"/>
    <xf numFmtId="0" fontId="0" fillId="4" borderId="3" xfId="0" applyFill="1" applyBorder="1"/>
    <xf numFmtId="0" fontId="0" fillId="5" borderId="4" xfId="0" applyFill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3" borderId="2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6" borderId="5" xfId="0" applyFill="1"/>
    <xf numFmtId="0" fontId="0" fillId="4" borderId="3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5" borderId="4" xfId="0" applyFill="1" applyAlignment="1">
      <alignment horizontal="center"/>
    </xf>
    <xf numFmtId="0" fontId="0" fillId="7" borderId="6" xfId="0" applyFill="1"/>
    <xf numFmtId="0" fontId="0" fillId="8" borderId="7" xfId="0" applyFill="1"/>
    <xf numFmtId="0" fontId="0" fillId="0" borderId="0" xfId="0"/>
    <xf numFmtId="0" fontId="0" fillId="0" borderId="8" xfId="0" applyBorder="1"/>
    <xf numFmtId="0" fontId="0" fillId="7" borderId="6" xfId="0" applyFill="1"/>
    <xf numFmtId="0" fontId="0" fillId="10" borderId="9" xfId="0" applyFill="1" applyBorder="1" applyAlignment="1">
      <alignment horizontal="center"/>
    </xf>
    <xf numFmtId="0" fontId="0" fillId="0" borderId="10" xfId="0" applyBorder="1"/>
    <xf numFmtId="0" fontId="0" fillId="0" borderId="0" xfId="0"/>
    <xf numFmtId="0" fontId="1" fillId="0" borderId="0" xfId="0" applyFont="1"/>
    <xf numFmtId="0" fontId="0" fillId="12" borderId="11" xfId="0" applyFill="1"/>
  </cellXfs>
  <cellStyles count="1">
    <cellStyle name="Normal" xfId="0" builtinId="0" customBuiltin="1"/>
  </cellStyles>
  <tableStyles count="0"/>
  <extLst>
    <ext uri="smNativeData">
      <pm:charStyles xmlns:pm="smNativeData" id="1761637925" count="1">
        <pm:charStyle name="Normál" fontId="0" Id="1"/>
      </pm:charStyles>
      <pm:colors xmlns:pm="smNativeData" id="1761637925" count="4">
        <pm:color name="20%-os szürke" rgb="000000"/>
        <pm:color name="Szín 25" rgb="92D050"/>
        <pm:color name="Szín 26" rgb="00B0F0"/>
        <pm:color name="Szín 27" rgb="DDD9C4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2</xdr:row>
      <xdr:rowOff>19050</xdr:rowOff>
    </xdr:from>
    <xdr:to>
      <xdr:col>1</xdr:col>
      <xdr:colOff>342900</xdr:colOff>
      <xdr:row>3</xdr:row>
      <xdr:rowOff>9525</xdr:rowOff>
    </xdr:to>
    <xdr:sp macro="" fLocksText="0">
      <xdr:nvSpPr>
        <xdr:cNvPr id="3" name="Line 1"/>
        <xdr:cNvSpPr>
          <a:extLst>
            <a:ext uri="smNativeData">
              <pm:smNativeData xmlns:pm="smNativeData" val="SMDATA_13_JXYAaRMAAAAlAAAACg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BAAAAAAAAAAAAAAAPAAAAAQAAACMAAAAjAAAAIwAAAB4AAAAAAAAAZAAAAGQAAAAC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F8AY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IAAAABAAAAcABVAgMAAAABAAAAOABVAroFAABBAgAAAAAAAAQBAAAAAAAA"/>
            </a:ext>
          </a:extLst>
        </xdr:cNvSpPr>
      </xdr:nvSpPr>
      <xdr:spPr>
        <a:xfrm>
          <a:off x="930910" y="366395"/>
          <a:ext cx="0" cy="16510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headEnd type="none" w="med" len="med"/>
          <a:tailEnd type="triangle" w="med" len="med"/>
        </a:ln>
        <a:effectLst/>
      </xdr:spPr>
    </xdr:sp>
    <xdr:clientData/>
  </xdr:twoCellAnchor>
  <xdr:twoCellAnchor>
    <xdr:from>
      <xdr:col>1</xdr:col>
      <xdr:colOff>342900</xdr:colOff>
      <xdr:row>10</xdr:row>
      <xdr:rowOff>19050</xdr:rowOff>
    </xdr:from>
    <xdr:to>
      <xdr:col>1</xdr:col>
      <xdr:colOff>342900</xdr:colOff>
      <xdr:row>11</xdr:row>
      <xdr:rowOff>9525</xdr:rowOff>
    </xdr:to>
    <xdr:sp macro="" fLocksText="0">
      <xdr:nvSpPr>
        <xdr:cNvPr id="2" name="Line 2"/>
        <xdr:cNvSpPr>
          <a:extLst>
            <a:ext uri="smNativeData">
              <pm:smNativeData xmlns:pm="smNativeData" val="SMDATA_13_JXYAaRMAAAAlAAAACg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BAAAAAAAAAAAAAAAPAAAAAQAAACMAAAAjAAAAIwAAAB4AAAAAAAAAZAAAAGQAAAAC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F8AY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oAAAABAAAAcABVAgsAAAABAAAAOABVAroFAADhCgAAAAAAAAQBAAAAAAAA"/>
            </a:ext>
          </a:extLst>
        </xdr:cNvSpPr>
      </xdr:nvSpPr>
      <xdr:spPr>
        <a:xfrm>
          <a:off x="930910" y="1768475"/>
          <a:ext cx="0" cy="16510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headEnd type="none" w="med" len="med"/>
          <a:tailEnd type="triangle" w="med" len="med"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7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1"/>
  <sheetViews>
    <sheetView view="normal" workbookViewId="0">
      <selection activeCell="E3" sqref="E3"/>
    </sheetView>
  </sheetViews>
  <sheetFormatPr defaultRowHeight="13.45"/>
  <cols>
    <col min="1" max="1" width="26.288288" customWidth="1"/>
  </cols>
  <sheetData>
    <row r="1" spans="1:2">
      <c r="A1" s="24" t="s">
        <v>0</v>
      </c>
      <c r="B1" s="18" t="s">
        <v>1</v>
      </c>
    </row>
    <row r="3" spans="1:2">
      <c r="A3" s="25" t="s">
        <v>2</v>
      </c>
      <c r="B3" s="18" t="s">
        <v>3</v>
      </c>
    </row>
    <row r="4" spans="1:2">
      <c r="A4" s="18" t="s">
        <v>4</v>
      </c>
      <c r="B4" s="18" t="s">
        <v>5</v>
      </c>
    </row>
    <row r="5" spans="1:2">
      <c r="A5" s="18"/>
      <c r="B5" s="18" t="s">
        <v>6</v>
      </c>
    </row>
    <row r="7" spans="1:2">
      <c r="A7" s="25" t="s">
        <v>7</v>
      </c>
      <c r="B7" s="18" t="s">
        <v>8</v>
      </c>
    </row>
    <row r="8" spans="1:2">
      <c r="A8" s="18" t="s">
        <v>9</v>
      </c>
      <c r="B8" s="18" t="s">
        <v>10</v>
      </c>
    </row>
    <row r="9" spans="2:2">
      <c r="B9" s="18" t="s">
        <v>11</v>
      </c>
    </row>
    <row r="11" spans="1:2">
      <c r="A11" s="25" t="s">
        <v>12</v>
      </c>
      <c r="B11" s="18" t="s">
        <v>13</v>
      </c>
    </row>
    <row r="12" spans="1:1">
      <c r="A12" s="18" t="s">
        <v>4</v>
      </c>
    </row>
    <row r="14" spans="1:2">
      <c r="A14" s="25" t="s">
        <v>14</v>
      </c>
      <c r="B14" s="18" t="s">
        <v>15</v>
      </c>
    </row>
    <row r="15" spans="1:1">
      <c r="A15" s="18" t="s">
        <v>4</v>
      </c>
    </row>
    <row r="17" spans="1:2">
      <c r="A17" s="25" t="s">
        <v>16</v>
      </c>
      <c r="B17" s="18" t="s">
        <v>17</v>
      </c>
    </row>
    <row r="18" spans="1:2">
      <c r="A18" s="18" t="s">
        <v>4</v>
      </c>
      <c r="B18" s="18" t="s">
        <v>18</v>
      </c>
    </row>
    <row r="20" spans="1:2">
      <c r="A20" s="25" t="s">
        <v>19</v>
      </c>
      <c r="B20" s="18" t="s">
        <v>20</v>
      </c>
    </row>
    <row r="21" spans="1:1">
      <c r="A21" s="18" t="s">
        <v>21</v>
      </c>
    </row>
  </sheetData>
  <printOptions>
    <extLst>
      <ext uri="smNativeData">
        <pm:pageFlags xmlns:pm="smNativeData" id="176163792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1637925" l="56" r="56" t="56" b="56" borderId="0" fillId="0" vertical="0"/>
        <pm:footer xmlns:pm="smNativeData" id="1761637925" l="56" r="56" t="56" b="56" borderId="0" fillId="0" vertical="2"/>
        <pm:paperBin xmlns:pm="smNativeData" id="1761637925" Id="0" type="0" value="0"/>
        <pm:paperBin xmlns:pm="smNativeData" id="1761637925" Id="1" type="0" value="0"/>
      </ext>
    </extLst>
  </headerFooter>
  <extLst>
    <ext uri="smNativeData">
      <pm:sheetPrefs xmlns:pm="smNativeData" day="17616379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1:L20"/>
  <sheetViews>
    <sheetView view="normal" topLeftCell="A4" workbookViewId="0">
      <selection activeCell="C18" sqref="C18"/>
    </sheetView>
  </sheetViews>
  <sheetFormatPr defaultRowHeight="13.45"/>
  <cols>
    <col min="2" max="2" width="25.144144" customWidth="1"/>
  </cols>
  <sheetData>
    <row r="1" spans="2:8">
      <c r="B1" s="2" t="n">
        <v>8</v>
      </c>
      <c r="F1" s="5" t="n">
        <v>1</v>
      </c>
      <c r="G1" s="5" t="s">
        <v>22</v>
      </c>
      <c r="H1" s="5" t="s">
        <v>23</v>
      </c>
    </row>
    <row r="2" spans="2:8">
      <c r="B2" s="4" t="s">
        <v>24</v>
      </c>
      <c r="F2" s="5" t="n">
        <v>5</v>
      </c>
      <c r="G2" s="5" t="s">
        <v>25</v>
      </c>
      <c r="H2" s="5" t="s">
        <v>26</v>
      </c>
    </row>
    <row r="3" spans="2:8">
      <c r="B3" t="s">
        <v>27</v>
      </c>
      <c r="F3" s="5" t="n">
        <v>6</v>
      </c>
      <c r="G3" s="5" t="s">
        <v>28</v>
      </c>
      <c r="H3" s="5" t="s">
        <v>29</v>
      </c>
    </row>
    <row r="4" spans="2:8">
      <c r="B4" t="s">
        <v>30</v>
      </c>
      <c r="F4" s="5" t="n">
        <v>8</v>
      </c>
      <c r="G4" s="5" t="s">
        <v>31</v>
      </c>
      <c r="H4" s="5" t="s">
        <v>32</v>
      </c>
    </row>
    <row r="5" spans="6:8">
      <c r="F5" s="5" t="n">
        <v>11</v>
      </c>
      <c r="G5" s="5" t="s">
        <v>33</v>
      </c>
      <c r="H5" s="5" t="s">
        <v>34</v>
      </c>
    </row>
    <row r="6" spans="2:2">
      <c r="B6" s="19" t="str">
        <f>VLOOKUP(B1,F1:H5,3)</f>
        <v>i</v>
      </c>
    </row>
    <row r="9" spans="2:8">
      <c r="B9" s="2" t="n">
        <v>9</v>
      </c>
      <c r="F9" s="5" t="n">
        <v>8</v>
      </c>
      <c r="G9" s="5" t="s">
        <v>35</v>
      </c>
      <c r="H9" s="5" t="s">
        <v>36</v>
      </c>
    </row>
    <row r="10" spans="2:8">
      <c r="B10" s="4" t="s">
        <v>24</v>
      </c>
      <c r="F10" s="5" t="n">
        <v>5</v>
      </c>
      <c r="G10" s="5" t="s">
        <v>37</v>
      </c>
      <c r="H10" s="5" t="s">
        <v>38</v>
      </c>
    </row>
    <row r="11" spans="2:8">
      <c r="B11" t="s">
        <v>27</v>
      </c>
      <c r="F11" s="5" t="n">
        <v>11</v>
      </c>
      <c r="G11" s="5" t="s">
        <v>39</v>
      </c>
      <c r="H11" s="5" t="s">
        <v>40</v>
      </c>
    </row>
    <row r="12" spans="2:8">
      <c r="B12" t="s">
        <v>41</v>
      </c>
      <c r="F12" s="5" t="n">
        <v>3</v>
      </c>
      <c r="G12" s="5" t="s">
        <v>42</v>
      </c>
      <c r="H12" s="5" t="s">
        <v>43</v>
      </c>
    </row>
    <row r="13" spans="6:8">
      <c r="F13" s="5" t="n">
        <v>9</v>
      </c>
      <c r="G13" s="5" t="s">
        <v>44</v>
      </c>
      <c r="H13" s="5" t="s">
        <v>45</v>
      </c>
    </row>
    <row r="14" spans="2:12">
      <c r="B14" s="19" t="str">
        <f>VLOOKUP(B9,F9:H13,2,FALSE)</f>
        <v>o</v>
      </c>
      <c r="L14" s="23"/>
    </row>
    <row r="16" spans="6:9">
      <c r="F16" s="22"/>
      <c r="G16" s="22"/>
      <c r="H16" s="22"/>
      <c r="I16" s="22"/>
    </row>
    <row r="17" spans="2:9">
      <c r="B17" t="s">
        <v>46</v>
      </c>
      <c r="C17" s="20" t="s">
        <v>47</v>
      </c>
      <c r="F17" s="13" t="s">
        <v>48</v>
      </c>
      <c r="G17" s="13" t="s">
        <v>49</v>
      </c>
      <c r="H17" s="13" t="s">
        <v>50</v>
      </c>
      <c r="I17" s="13" t="s">
        <v>51</v>
      </c>
    </row>
    <row r="18" spans="2:9">
      <c r="B18" t="s">
        <v>52</v>
      </c>
      <c r="C18" s="17" t="str">
        <f>VLOOKUP(C17,F17:I20,4)</f>
        <v>Fekete</v>
      </c>
      <c r="F18" s="13" t="s">
        <v>53</v>
      </c>
      <c r="G18" s="13" t="n">
        <v>14</v>
      </c>
      <c r="H18" s="13" t="n">
        <v>4.5</v>
      </c>
      <c r="I18" s="13" t="s">
        <v>54</v>
      </c>
    </row>
    <row r="19" spans="3:9">
      <c r="C19" s="19"/>
      <c r="F19" s="13" t="s">
        <v>55</v>
      </c>
      <c r="G19" s="13" t="n">
        <v>2</v>
      </c>
      <c r="H19" s="13" t="n">
        <v>4</v>
      </c>
      <c r="I19" s="13" t="s">
        <v>54</v>
      </c>
    </row>
    <row r="20" spans="6:9">
      <c r="F20" s="13" t="s">
        <v>56</v>
      </c>
      <c r="G20" s="13" t="n">
        <v>2</v>
      </c>
      <c r="H20" s="13" t="n">
        <v>3</v>
      </c>
      <c r="I20" s="13" t="s">
        <v>57</v>
      </c>
    </row>
  </sheetData>
  <printOptions>
    <extLst>
      <ext uri="smNativeData">
        <pm:pageFlags xmlns:pm="smNativeData" id="176163792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1637925" l="56" r="56" t="56" b="56" borderId="0" fillId="0" vertical="0"/>
        <pm:footer xmlns:pm="smNativeData" id="1761637925" l="56" r="56" t="56" b="56" borderId="0" fillId="0" vertical="2"/>
        <pm:paperBin xmlns:pm="smNativeData" id="1761637925" Id="0" type="0" value="0"/>
        <pm:paperBin xmlns:pm="smNativeData" id="1761637925" Id="1" type="0" value="0"/>
      </ext>
    </extLst>
  </headerFooter>
  <extLst>
    <ext uri="smNativeData">
      <pm:sheetPrefs xmlns:pm="smNativeData" day="17616379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M12"/>
  <sheetViews>
    <sheetView view="normal" workbookViewId="0">
      <selection activeCell="M2" sqref="M2"/>
    </sheetView>
  </sheetViews>
  <sheetFormatPr defaultRowHeight="13.45"/>
  <cols>
    <col min="12" max="12" width="13.612613" customWidth="1"/>
  </cols>
  <sheetData>
    <row r="1" spans="1:13">
      <c r="A1" t="s">
        <v>58</v>
      </c>
      <c r="G1" s="13" t="s">
        <v>48</v>
      </c>
      <c r="H1" s="13" t="s">
        <v>53</v>
      </c>
      <c r="I1" s="13" t="s">
        <v>55</v>
      </c>
      <c r="J1" s="13" t="s">
        <v>56</v>
      </c>
      <c r="L1" t="s">
        <v>46</v>
      </c>
      <c r="M1" s="16" t="s">
        <v>56</v>
      </c>
    </row>
    <row r="2" spans="1:13">
      <c r="A2" s="3" t="n">
        <v>25</v>
      </c>
      <c r="B2" s="4" t="s">
        <v>59</v>
      </c>
      <c r="C2" s="19" t="str">
        <f>HLOOKUP(A2,A4:E5,2)</f>
        <v>e</v>
      </c>
      <c r="G2" s="13" t="s">
        <v>49</v>
      </c>
      <c r="H2" s="13" t="n">
        <v>14</v>
      </c>
      <c r="I2" s="13" t="n">
        <v>2</v>
      </c>
      <c r="J2" s="13" t="n">
        <v>2</v>
      </c>
      <c r="L2" t="s">
        <v>60</v>
      </c>
      <c r="M2" s="17">
        <f>HLOOKUP(M1,G1:J4,2)</f>
        <v>2</v>
      </c>
    </row>
    <row r="3" spans="7:13">
      <c r="G3" s="13" t="s">
        <v>50</v>
      </c>
      <c r="H3" s="13" t="n">
        <v>4.5</v>
      </c>
      <c r="I3" s="13" t="n">
        <v>4</v>
      </c>
      <c r="J3" s="13" t="n">
        <v>3</v>
      </c>
      <c r="M3" s="19"/>
    </row>
    <row r="4" spans="1:10">
      <c r="A4" s="1" t="n">
        <v>2</v>
      </c>
      <c r="B4" s="1" t="n">
        <v>6</v>
      </c>
      <c r="C4" s="1" t="n">
        <v>8</v>
      </c>
      <c r="D4" s="1" t="n">
        <v>15</v>
      </c>
      <c r="E4" s="1" t="n">
        <v>25</v>
      </c>
      <c r="G4" s="13" t="s">
        <v>51</v>
      </c>
      <c r="H4" s="13" t="s">
        <v>61</v>
      </c>
      <c r="I4" s="13" t="s">
        <v>61</v>
      </c>
      <c r="J4" s="13" t="s">
        <v>62</v>
      </c>
    </row>
    <row r="5" spans="1:5">
      <c r="A5" s="1" t="s">
        <v>22</v>
      </c>
      <c r="B5" s="1" t="s">
        <v>25</v>
      </c>
      <c r="C5" s="1" t="s">
        <v>28</v>
      </c>
      <c r="D5" s="1" t="s">
        <v>31</v>
      </c>
      <c r="E5" s="1" t="s">
        <v>33</v>
      </c>
    </row>
    <row r="8" spans="1:5">
      <c r="A8" s="1" t="n">
        <v>8</v>
      </c>
      <c r="B8" s="1" t="n">
        <v>5</v>
      </c>
      <c r="C8" s="1" t="n">
        <v>11</v>
      </c>
      <c r="D8" s="1" t="n">
        <v>3</v>
      </c>
      <c r="E8" s="1" t="n">
        <v>9</v>
      </c>
    </row>
    <row r="9" spans="1:5">
      <c r="A9" s="1" t="s">
        <v>23</v>
      </c>
      <c r="B9" s="1" t="s">
        <v>26</v>
      </c>
      <c r="C9" s="1" t="s">
        <v>29</v>
      </c>
      <c r="D9" s="1" t="s">
        <v>32</v>
      </c>
      <c r="E9" s="1" t="s">
        <v>34</v>
      </c>
    </row>
    <row r="11" spans="1:1">
      <c r="A11" t="s">
        <v>58</v>
      </c>
    </row>
    <row r="12" spans="1:3">
      <c r="A12" s="3" t="n">
        <v>3</v>
      </c>
      <c r="B12" s="4" t="s">
        <v>59</v>
      </c>
      <c r="C12" s="19" t="str">
        <f>HLOOKUP(A12,A8:E9,2,FALSE)</f>
        <v>i</v>
      </c>
    </row>
  </sheetData>
  <printOptions>
    <extLst>
      <ext uri="smNativeData">
        <pm:pageFlags xmlns:pm="smNativeData" id="176163792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61637925" l="56" r="56" t="56" b="56" borderId="0" fillId="0" vertical="0"/>
        <pm:footer xmlns:pm="smNativeData" id="1761637925" l="56" r="56" t="56" b="56" borderId="0" fillId="0" vertical="2"/>
        <pm:paperBin xmlns:pm="smNativeData" id="1761637925" Id="0" type="0" value="0"/>
        <pm:paperBin xmlns:pm="smNativeData" id="1761637925" Id="1" type="0" value="0"/>
      </ext>
    </extLst>
  </headerFooter>
  <extLst>
    <ext uri="smNativeData">
      <pm:sheetPrefs xmlns:pm="smNativeData" day="17616379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B3:J18"/>
  <sheetViews>
    <sheetView view="normal" zoomScale="95" workbookViewId="0">
      <selection activeCell="C18" sqref="C18"/>
    </sheetView>
  </sheetViews>
  <sheetFormatPr defaultRowHeight="13.45"/>
  <cols>
    <col min="9" max="9" width="10.288288" customWidth="1"/>
  </cols>
  <sheetData>
    <row r="3" spans="2:8">
      <c r="B3" s="1" t="s">
        <v>22</v>
      </c>
      <c r="C3" s="1" t="s">
        <v>25</v>
      </c>
      <c r="D3" s="1" t="s">
        <v>28</v>
      </c>
      <c r="E3" s="1" t="s">
        <v>31</v>
      </c>
      <c r="F3" s="1" t="s">
        <v>33</v>
      </c>
      <c r="H3" t="s">
        <v>58</v>
      </c>
    </row>
    <row r="4" spans="2:10">
      <c r="B4" s="1" t="n">
        <v>2</v>
      </c>
      <c r="C4" s="1" t="n">
        <v>6</v>
      </c>
      <c r="D4" s="1" t="n">
        <v>8</v>
      </c>
      <c r="E4" s="1" t="n">
        <v>15</v>
      </c>
      <c r="F4" s="1" t="n">
        <v>25</v>
      </c>
      <c r="H4" s="12" t="n">
        <v>15</v>
      </c>
      <c r="I4" s="15" t="s">
        <v>63</v>
      </c>
      <c r="J4" s="19" t="str">
        <f>LOOKUP(H4,B4:F4,B3:F3)</f>
        <v>d</v>
      </c>
    </row>
    <row r="9" spans="2:8">
      <c r="B9" s="5" t="s">
        <v>22</v>
      </c>
      <c r="C9" s="5" t="s">
        <v>23</v>
      </c>
      <c r="D9" s="5" t="n">
        <v>1</v>
      </c>
      <c r="F9" s="6"/>
      <c r="G9" s="6"/>
      <c r="H9" s="6"/>
    </row>
    <row r="10" spans="2:8">
      <c r="B10" s="5" t="s">
        <v>25</v>
      </c>
      <c r="C10" s="5" t="s">
        <v>26</v>
      </c>
      <c r="D10" s="5" t="n">
        <v>5</v>
      </c>
      <c r="F10" s="6"/>
      <c r="G10" s="6"/>
      <c r="H10" s="6"/>
    </row>
    <row r="11" spans="2:8">
      <c r="B11" s="5" t="s">
        <v>28</v>
      </c>
      <c r="C11" s="5" t="s">
        <v>29</v>
      </c>
      <c r="D11" s="5" t="n">
        <v>6</v>
      </c>
      <c r="F11" s="6"/>
      <c r="G11" s="6"/>
      <c r="H11" s="6"/>
    </row>
    <row r="12" spans="2:8">
      <c r="B12" s="5" t="s">
        <v>31</v>
      </c>
      <c r="C12" s="5" t="s">
        <v>32</v>
      </c>
      <c r="D12" s="5" t="n">
        <v>8</v>
      </c>
      <c r="F12" s="6"/>
      <c r="G12" s="6"/>
      <c r="H12" s="6"/>
    </row>
    <row r="13" spans="2:8">
      <c r="B13" s="5" t="s">
        <v>33</v>
      </c>
      <c r="C13" s="5" t="s">
        <v>34</v>
      </c>
      <c r="D13" s="5" t="n">
        <v>11</v>
      </c>
      <c r="F13" s="6"/>
      <c r="G13" s="6"/>
      <c r="H13" s="6"/>
    </row>
    <row r="14" spans="6:8">
      <c r="F14" s="7"/>
      <c r="G14" s="7"/>
      <c r="H14" s="7"/>
    </row>
    <row r="15" spans="3:8">
      <c r="C15" s="8" t="n">
        <v>8</v>
      </c>
      <c r="D15" t="s">
        <v>64</v>
      </c>
      <c r="F15" s="7"/>
      <c r="G15" s="7"/>
      <c r="H15" s="7"/>
    </row>
    <row r="16" spans="3:8">
      <c r="C16" s="15" t="s">
        <v>63</v>
      </c>
      <c r="F16" s="7"/>
      <c r="G16" s="7"/>
      <c r="H16" s="7"/>
    </row>
    <row r="17" spans="3:8">
      <c r="C17" s="18" t="s">
        <v>65</v>
      </c>
      <c r="F17" s="7"/>
      <c r="G17" s="7"/>
      <c r="H17" s="7"/>
    </row>
    <row r="18" spans="3:8">
      <c r="C18" s="19" t="str">
        <f>LOOKUP(C15,D9:D13,B9:B13)</f>
        <v>d</v>
      </c>
      <c r="F18" s="7"/>
      <c r="G18" s="7"/>
      <c r="H18" s="7"/>
    </row>
  </sheetData>
  <printOptions>
    <extLst>
      <ext uri="smNativeData">
        <pm:pageFlags xmlns:pm="smNativeData" id="1761637925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1637925" l="56" r="56" t="56" b="56" borderId="0" fillId="0" vertical="0"/>
        <pm:footer xmlns:pm="smNativeData" id="1761637925" l="56" r="56" t="56" b="56" borderId="0" fillId="0" vertical="2"/>
        <pm:paperBin xmlns:pm="smNativeData" id="1761637925" Id="0" type="0" value="0"/>
        <pm:paperBin xmlns:pm="smNativeData" id="1761637925" Id="1" type="0" value="0"/>
      </ext>
    </extLst>
  </headerFooter>
  <extLst>
    <ext uri="smNativeData">
      <pm:sheetPrefs xmlns:pm="smNativeData" day="17616379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1"/>
  <sheetViews>
    <sheetView view="normal" zoomScale="90" workbookViewId="0">
      <selection activeCell="E2" sqref="E2"/>
    </sheetView>
  </sheetViews>
  <sheetFormatPr defaultRowHeight="13.45"/>
  <sheetData>
    <row r="1" spans="3:7">
      <c r="C1" t="s">
        <v>66</v>
      </c>
      <c r="G1" s="5" t="s">
        <v>22</v>
      </c>
    </row>
    <row r="2" spans="3:7">
      <c r="C2" s="12" t="s">
        <v>25</v>
      </c>
      <c r="D2" s="21" t="s">
        <v>67</v>
      </c>
      <c r="E2" s="19">
        <f>MATCH(C2,G1:G5)</f>
        <v>2</v>
      </c>
      <c r="G2" s="5" t="s">
        <v>25</v>
      </c>
    </row>
    <row r="3" spans="7:7">
      <c r="G3" s="5" t="s">
        <v>28</v>
      </c>
    </row>
    <row r="4" spans="7:7">
      <c r="G4" s="5" t="s">
        <v>31</v>
      </c>
    </row>
    <row r="5" spans="7:7">
      <c r="G5" s="5" t="s">
        <v>33</v>
      </c>
    </row>
    <row r="8" spans="1:1">
      <c r="A8" t="s">
        <v>66</v>
      </c>
    </row>
    <row r="9" spans="1:3">
      <c r="A9" s="12" t="n">
        <v>3</v>
      </c>
      <c r="B9" s="21" t="s">
        <v>67</v>
      </c>
      <c r="C9" s="19">
        <f>MATCH(A9,A11:G11)</f>
        <v>4</v>
      </c>
    </row>
    <row r="11" spans="1:7">
      <c r="A11" s="1" t="n">
        <v>8</v>
      </c>
      <c r="B11" s="1" t="n">
        <v>5</v>
      </c>
      <c r="C11" s="1" t="n">
        <v>11</v>
      </c>
      <c r="D11" s="1" t="n">
        <v>3</v>
      </c>
      <c r="E11" s="1" t="n">
        <v>9</v>
      </c>
      <c r="F11" s="1" t="n">
        <v>10</v>
      </c>
      <c r="G11" s="1" t="n">
        <v>6</v>
      </c>
    </row>
  </sheetData>
  <printOptions>
    <extLst>
      <ext uri="smNativeData">
        <pm:pageFlags xmlns:pm="smNativeData" id="1761637925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1637925" l="56" r="56" t="56" b="56" borderId="0" fillId="0" vertical="0"/>
        <pm:footer xmlns:pm="smNativeData" id="1761637925" l="56" r="56" t="56" b="56" borderId="0" fillId="0" vertical="2"/>
        <pm:paperBin xmlns:pm="smNativeData" id="1761637925" Id="0" type="0" value="0"/>
        <pm:paperBin xmlns:pm="smNativeData" id="1761637925" Id="1" type="0" value="0"/>
      </ext>
    </extLst>
  </headerFooter>
  <extLst>
    <ext uri="smNativeData">
      <pm:sheetPrefs xmlns:pm="smNativeData" day="17616379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11"/>
  <sheetViews>
    <sheetView view="normal" zoomScale="85" workbookViewId="0">
      <selection activeCell="D3" sqref="D3"/>
    </sheetView>
  </sheetViews>
  <sheetFormatPr defaultRowHeight="13.45"/>
  <cols>
    <col min="6" max="6" width="10.288288" customWidth="1"/>
  </cols>
  <sheetData>
    <row r="1" spans="3:6">
      <c r="C1" t="s">
        <v>68</v>
      </c>
      <c r="F1" s="5" t="s">
        <v>22</v>
      </c>
    </row>
    <row r="2" spans="3:6">
      <c r="C2" s="8" t="n">
        <v>1</v>
      </c>
      <c r="D2" t="s">
        <v>69</v>
      </c>
      <c r="F2" s="5" t="s">
        <v>25</v>
      </c>
    </row>
    <row r="3" spans="3:6">
      <c r="C3" s="15" t="s">
        <v>70</v>
      </c>
      <c r="D3" s="19" t="str">
        <f aca="1">INDEX(F1:F5,1)</f>
        <v>a</v>
      </c>
      <c r="F3" s="5" t="s">
        <v>28</v>
      </c>
    </row>
    <row r="4" spans="6:6">
      <c r="F4" s="5" t="s">
        <v>31</v>
      </c>
    </row>
    <row r="5" spans="6:6">
      <c r="F5" s="5" t="s">
        <v>33</v>
      </c>
    </row>
    <row r="8" spans="1:9">
      <c r="A8" t="s">
        <v>68</v>
      </c>
      <c r="F8" s="13" t="s">
        <v>26</v>
      </c>
      <c r="G8" s="13" t="s">
        <v>29</v>
      </c>
      <c r="H8" s="13" t="s">
        <v>32</v>
      </c>
      <c r="I8" s="13" t="s">
        <v>34</v>
      </c>
    </row>
    <row r="9" spans="1:9">
      <c r="A9" s="14" t="s">
        <v>69</v>
      </c>
      <c r="B9" s="8" t="n">
        <v>2</v>
      </c>
      <c r="F9" s="13" t="s">
        <v>35</v>
      </c>
      <c r="G9" s="13" t="s">
        <v>37</v>
      </c>
      <c r="H9" s="13" t="s">
        <v>39</v>
      </c>
      <c r="I9" s="13" t="s">
        <v>42</v>
      </c>
    </row>
    <row r="10" spans="1:9">
      <c r="A10" s="14" t="s">
        <v>71</v>
      </c>
      <c r="B10" s="8" t="n">
        <v>3</v>
      </c>
      <c r="D10" s="19" t="str">
        <f aca="1">INDEX(F8:I11,2,3)</f>
        <v>m</v>
      </c>
      <c r="F10" s="13" t="s">
        <v>44</v>
      </c>
      <c r="G10" s="13" t="s">
        <v>36</v>
      </c>
      <c r="H10" s="13" t="s">
        <v>38</v>
      </c>
      <c r="I10" s="13" t="s">
        <v>40</v>
      </c>
    </row>
    <row r="11" spans="2:9">
      <c r="B11" s="15" t="s">
        <v>70</v>
      </c>
      <c r="F11" s="13" t="s">
        <v>43</v>
      </c>
      <c r="G11" s="13" t="s">
        <v>45</v>
      </c>
      <c r="H11" s="13" t="s">
        <v>72</v>
      </c>
      <c r="I11" s="13" t="s">
        <v>73</v>
      </c>
    </row>
  </sheetData>
  <printOptions>
    <extLst>
      <ext uri="smNativeData">
        <pm:pageFlags xmlns:pm="smNativeData" id="1761637925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1637925" l="56" r="56" t="56" b="56" borderId="0" fillId="0" vertical="0"/>
        <pm:footer xmlns:pm="smNativeData" id="1761637925" l="56" r="56" t="56" b="56" borderId="0" fillId="0" vertical="2"/>
        <pm:paperBin xmlns:pm="smNativeData" id="1761637925" Id="0" type="0" value="0"/>
        <pm:paperBin xmlns:pm="smNativeData" id="1761637925" Id="1" type="0" value="0"/>
      </ext>
    </extLst>
  </headerFooter>
  <extLst>
    <ext uri="smNativeData">
      <pm:sheetPrefs xmlns:pm="smNativeData" day="17616379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14"/>
  <sheetViews>
    <sheetView tabSelected="1" view="normal" zoomScale="95" workbookViewId="0">
      <selection activeCell="J7" sqref="J7"/>
    </sheetView>
  </sheetViews>
  <sheetFormatPr defaultRowHeight="13.45"/>
  <sheetData>
    <row r="1" spans="1:1">
      <c r="A1" t="s">
        <v>66</v>
      </c>
    </row>
    <row r="2" spans="1:11">
      <c r="A2" s="8" t="n">
        <v>8</v>
      </c>
      <c r="B2" s="11" t="s">
        <v>67</v>
      </c>
      <c r="E2" s="1" t="s">
        <v>23</v>
      </c>
      <c r="F2" s="1" t="s">
        <v>26</v>
      </c>
      <c r="G2" s="1" t="s">
        <v>29</v>
      </c>
      <c r="H2" s="1" t="s">
        <v>32</v>
      </c>
      <c r="I2" s="1" t="s">
        <v>34</v>
      </c>
      <c r="J2" s="9" t="s">
        <v>35</v>
      </c>
      <c r="K2" s="9" t="s">
        <v>37</v>
      </c>
    </row>
    <row r="3" spans="5:11">
      <c r="E3" s="1" t="n">
        <v>8</v>
      </c>
      <c r="F3" s="1" t="n">
        <v>5</v>
      </c>
      <c r="G3" s="1" t="n">
        <v>11</v>
      </c>
      <c r="H3" s="1" t="n">
        <v>3</v>
      </c>
      <c r="I3" s="1" t="n">
        <v>9</v>
      </c>
      <c r="J3" s="1" t="n">
        <v>10</v>
      </c>
      <c r="K3" s="1" t="n">
        <v>6</v>
      </c>
    </row>
    <row r="4" spans="1:1">
      <c r="A4" t="s">
        <v>74</v>
      </c>
    </row>
    <row r="5" spans="1:2">
      <c r="A5" s="10"/>
      <c r="B5" s="15" t="s">
        <v>70</v>
      </c>
    </row>
    <row r="6" spans="2:2">
      <c r="B6" s="19" t="str">
        <f aca="1">INDEX(E2:K2,1,MATCH(A2,E3:K3))</f>
        <v>i</v>
      </c>
    </row>
    <row r="9" spans="1:8">
      <c r="A9" t="s">
        <v>75</v>
      </c>
      <c r="F9" s="5" t="n">
        <v>1</v>
      </c>
      <c r="G9" s="5" t="s">
        <v>22</v>
      </c>
      <c r="H9" s="5" t="s">
        <v>23</v>
      </c>
    </row>
    <row r="10" spans="1:8">
      <c r="A10" s="8" t="s">
        <v>29</v>
      </c>
      <c r="B10" s="11" t="s">
        <v>67</v>
      </c>
      <c r="F10" s="5" t="n">
        <v>5</v>
      </c>
      <c r="G10" s="5" t="s">
        <v>25</v>
      </c>
      <c r="H10" s="5" t="s">
        <v>26</v>
      </c>
    </row>
    <row r="11" spans="6:8">
      <c r="F11" s="5" t="n">
        <v>6</v>
      </c>
      <c r="G11" s="5" t="s">
        <v>28</v>
      </c>
      <c r="H11" s="5" t="s">
        <v>29</v>
      </c>
    </row>
    <row r="12" spans="1:8">
      <c r="A12" t="s">
        <v>76</v>
      </c>
      <c r="F12" s="5" t="n">
        <v>8</v>
      </c>
      <c r="G12" s="5" t="s">
        <v>31</v>
      </c>
      <c r="H12" s="5" t="s">
        <v>32</v>
      </c>
    </row>
    <row r="13" spans="1:8">
      <c r="A13" s="10"/>
      <c r="B13" s="15" t="s">
        <v>70</v>
      </c>
      <c r="F13" s="5" t="n">
        <v>11</v>
      </c>
      <c r="G13" s="5" t="s">
        <v>33</v>
      </c>
      <c r="H13" s="5" t="s">
        <v>34</v>
      </c>
    </row>
    <row r="14" spans="2:2">
      <c r="B14" s="19" t="e">
        <f aca="1">INDEX(G9:G13,MATCH(A10,H9:H13),2)</f>
        <v>#REF!</v>
      </c>
    </row>
  </sheetData>
  <printOptions>
    <extLst>
      <ext uri="smNativeData">
        <pm:pageFlags xmlns:pm="smNativeData" id="1761637925" printRowHead="0" printColHead="0" printHeadLine="0" printFootLine="0" autoHeightHeader="0" autoHeightFooter="0" fitToPageBoth="0"/>
      </ext>
    </extLst>
  </printOptions>
  <pageMargins left="0.750000" right="0.750000" top="1.000000" bottom="1.000000" header="0.500000" footer="0.500000"/>
  <pageSetup paperSize="9" fitToWidth="0" fitToHeight="1" pageOrder="overThenDown"/>
  <headerFooter>
    <extLst>
      <ext uri="smNativeData">
        <pm:header xmlns:pm="smNativeData" id="1761637925" l="56" r="56" t="56" b="56" borderId="0" fillId="0" vertical="0"/>
        <pm:footer xmlns:pm="smNativeData" id="1761637925" l="56" r="56" t="56" b="56" borderId="0" fillId="0" vertical="2"/>
        <pm:paperBin xmlns:pm="smNativeData" id="1761637925" Id="0" type="0" value="0"/>
        <pm:paperBin xmlns:pm="smNativeData" id="1761637925" Id="1" type="0" value="0"/>
      </ext>
    </extLst>
  </headerFooter>
  <drawing r:id="rId1"/>
  <extLst>
    <ext uri="smNativeData">
      <pm:sheetPrefs xmlns:pm="smNativeData" day="176163792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tanuló</dc:creator>
  <cp:keywords/>
  <dc:description/>
  <cp:lastModifiedBy>ritzo</cp:lastModifiedBy>
  <cp:revision>0</cp:revision>
  <dcterms:created xsi:type="dcterms:W3CDTF">2010-11-11T09:58:10Z</dcterms:created>
  <dcterms:modified xsi:type="dcterms:W3CDTF">2025-10-28T07:52:05Z</dcterms:modified>
</cp:coreProperties>
</file>