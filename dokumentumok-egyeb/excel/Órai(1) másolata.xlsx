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Munkalap1" sheetId="1" r:id="rId1"/>
    <sheet name="Munkalap2" sheetId="2" r:id="rId2"/>
    <sheet name="Munkalap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<sst xmlns="http://schemas.openxmlformats.org/spreadsheetml/2006/main" count="19" uniqueCount="19">
  <si>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Az almaszedés eredményei</t>
  </si>
  <si>
    <t>1. csoport</t>
  </si>
  <si>
    <t>2. csoport</t>
  </si>
  <si>
    <t>3. csoport</t>
  </si>
  <si>
    <t>4. csoport</t>
  </si>
  <si>
    <t>Kedvezmény:</t>
  </si>
  <si>
    <t>1 km ára:</t>
  </si>
  <si>
    <t>Testsúly (kg)</t>
  </si>
  <si>
    <t>Eredményes-e</t>
  </si>
  <si>
    <t>Asztalitenisz</t>
  </si>
  <si>
    <t>Úszás</t>
  </si>
  <si>
    <t>Ablaktisztítás</t>
  </si>
  <si>
    <t>Fűrészelés</t>
  </si>
  <si>
    <t>Kocsimosás</t>
  </si>
  <si>
    <t>Padlómosás</t>
  </si>
  <si>
    <t>Minimum</t>
  </si>
  <si>
    <t>Maximum</t>
  </si>
  <si>
    <t>Átlag</t>
  </si>
  <si>
    <t>2 óra ablaktisztítás és 3 óra fűrészelés mennyi kalóriaveszteséget okoz?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</si>
</sst>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&quot; km&quot;"/>
    <numFmt numFmtId="180" formatCode="yyyy/mm/dd;@"/>
  </numFmts>
  <fonts count="26">
    <font>
      <sz val="10"/>
      <color rgb="FF000000"/>
      <name val="Arial"/>
      <charset val="238"/>
    </font>
    <font>
      <b/>
      <sz val="10"/>
      <color rgb="FF000000"/>
      <name val="Arial"/>
      <charset val="238"/>
    </font>
    <font>
      <i/>
      <sz val="10"/>
      <color rgb="FF000000"/>
      <name val="Arial"/>
      <charset val="238"/>
    </font>
    <font>
      <b/>
      <sz val="10"/>
      <color rgb="FF0000FF"/>
      <name val="Arial"/>
      <charset val="238"/>
    </font>
    <font>
      <sz val="10"/>
      <color rgb="FF00FF00"/>
      <name val="Arial"/>
      <charset val="238"/>
    </font>
    <font>
      <sz val="10"/>
      <color rgb="FFFF0000"/>
      <name val="Arial"/>
      <charset val="238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5B5B5"/>
        <bgColor rgb="FFFFFFFF"/>
      </patternFill>
    </fill>
    <fill>
      <patternFill patternType="solid">
        <fgColor rgb="FF5CFF5C"/>
        <bgColor rgb="FFFFFFFF"/>
      </patternFill>
    </fill>
    <fill>
      <patternFill patternType="solid">
        <fgColor rgb="FFD1D1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3D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DFF3D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18" fillId="1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1" fillId="3" borderId="3" xfId="0" applyFont="1" applyFill="1" applyBorder="1"/>
    <xf numFmtId="0" fontId="0" fillId="3" borderId="3" xfId="0" applyFill="1" applyBorder="1"/>
    <xf numFmtId="0" fontId="1" fillId="3" borderId="4" xfId="0" applyFont="1" applyFill="1" applyBorder="1"/>
    <xf numFmtId="0" fontId="0" fillId="3" borderId="4" xfId="0" applyFill="1" applyBorder="1"/>
    <xf numFmtId="0" fontId="1" fillId="3" borderId="1" xfId="0" applyFont="1" applyFill="1" applyBorder="1"/>
    <xf numFmtId="178" fontId="0" fillId="3" borderId="1" xfId="0" applyNumberFormat="1" applyFill="1" applyBorder="1"/>
    <xf numFmtId="0" fontId="0" fillId="4" borderId="1" xfId="0" applyFill="1" applyBorder="1"/>
    <xf numFmtId="0" fontId="0" fillId="0" borderId="4" xfId="0" applyBorder="1"/>
    <xf numFmtId="0" fontId="0" fillId="5" borderId="0" xfId="0" applyFill="1" applyBorder="1"/>
    <xf numFmtId="0" fontId="1" fillId="6" borderId="1" xfId="0" applyFont="1" applyFill="1" applyBorder="1"/>
    <xf numFmtId="10" fontId="1" fillId="6" borderId="1" xfId="0" applyNumberFormat="1" applyFont="1" applyFill="1" applyBorder="1"/>
    <xf numFmtId="179" fontId="3" fillId="7" borderId="1" xfId="0" applyNumberFormat="1" applyFont="1" applyFill="1" applyBorder="1"/>
    <xf numFmtId="0" fontId="1" fillId="7" borderId="1" xfId="0" applyFont="1" applyFill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4" fillId="8" borderId="4" xfId="0" applyFont="1" applyFill="1" applyBorder="1"/>
    <xf numFmtId="0" fontId="4" fillId="8" borderId="10" xfId="0" applyFont="1" applyFill="1" applyBorder="1"/>
    <xf numFmtId="180" fontId="5" fillId="9" borderId="9" xfId="0" applyNumberFormat="1" applyFont="1" applyFill="1" applyBorder="1"/>
    <xf numFmtId="0" fontId="0" fillId="0" borderId="1" xfId="0" applyBorder="1" applyAlignment="1">
      <alignment horizontal="right"/>
    </xf>
    <xf numFmtId="180" fontId="5" fillId="9" borderId="1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007F"/>
      </font>
      <fill>
        <patternFill patternType="solid">
          <bgColor rgb="FFB3B3FF"/>
        </patternFill>
      </fill>
    </dxf>
    <dxf>
      <font>
        <color rgb="FFFF0000"/>
      </font>
      <fill>
        <patternFill patternType="solid">
          <bgColor rgb="FFFFB3B3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20" sqref="A20"/>
    </sheetView>
  </sheetViews>
  <sheetFormatPr defaultColWidth="10" defaultRowHeight="12.5" outlineLevelCol="4"/>
  <sheetData>
    <row r="1" ht="14.5" spans="1:5">
      <c r="A1" s="18"/>
      <c r="B1" s="19" t="s">
        <v>0</v>
      </c>
      <c r="C1" s="20"/>
      <c r="D1" s="20"/>
      <c r="E1" s="21"/>
    </row>
    <row r="2" ht="13.25" spans="1:5">
      <c r="A2" s="22"/>
      <c r="B2" s="23" t="s">
        <v>1</v>
      </c>
      <c r="C2" s="23" t="s">
        <v>2</v>
      </c>
      <c r="D2" s="23" t="s">
        <v>3</v>
      </c>
      <c r="E2" s="24" t="s">
        <v>4</v>
      </c>
    </row>
    <row r="3" spans="1:5">
      <c r="A3" s="25">
        <v>36418</v>
      </c>
      <c r="B3" s="26">
        <v>50</v>
      </c>
      <c r="C3" s="26">
        <v>60</v>
      </c>
      <c r="D3" s="26">
        <v>45</v>
      </c>
      <c r="E3" s="26">
        <v>25</v>
      </c>
    </row>
    <row r="4" spans="1:5">
      <c r="A4" s="25">
        <v>36419</v>
      </c>
      <c r="B4" s="26">
        <v>60</v>
      </c>
      <c r="C4" s="26">
        <v>47</v>
      </c>
      <c r="D4" s="26">
        <v>46</v>
      </c>
      <c r="E4" s="26">
        <v>35</v>
      </c>
    </row>
    <row r="5" spans="1:5">
      <c r="A5" s="25">
        <v>36420</v>
      </c>
      <c r="B5" s="26">
        <v>54</v>
      </c>
      <c r="C5" s="26">
        <v>38</v>
      </c>
      <c r="D5" s="26">
        <v>39</v>
      </c>
      <c r="E5" s="26">
        <v>45</v>
      </c>
    </row>
    <row r="6" spans="1:5">
      <c r="A6" s="25">
        <v>36421</v>
      </c>
      <c r="B6" s="26">
        <v>56</v>
      </c>
      <c r="C6" s="26">
        <v>52</v>
      </c>
      <c r="D6" s="26">
        <v>56</v>
      </c>
      <c r="E6" s="26">
        <v>52</v>
      </c>
    </row>
    <row r="7" spans="1:5">
      <c r="A7" s="25">
        <v>36422</v>
      </c>
      <c r="B7" s="26">
        <v>48</v>
      </c>
      <c r="C7" s="26">
        <v>68</v>
      </c>
      <c r="D7" s="26">
        <v>41</v>
      </c>
      <c r="E7" s="26">
        <v>53</v>
      </c>
    </row>
    <row r="8" spans="1:5">
      <c r="A8" s="25">
        <v>36423</v>
      </c>
      <c r="B8" s="26">
        <v>56</v>
      </c>
      <c r="C8" s="26">
        <v>58</v>
      </c>
      <c r="D8" s="26">
        <v>46</v>
      </c>
      <c r="E8" s="26">
        <v>56</v>
      </c>
    </row>
    <row r="9" spans="1:5">
      <c r="A9" s="25">
        <v>36424</v>
      </c>
      <c r="B9" s="26">
        <v>59</v>
      </c>
      <c r="C9" s="26">
        <v>50</v>
      </c>
      <c r="D9" s="26">
        <v>58</v>
      </c>
      <c r="E9" s="26">
        <v>54</v>
      </c>
    </row>
    <row r="10" spans="1:5">
      <c r="A10" s="25">
        <v>36425</v>
      </c>
      <c r="B10" s="26">
        <v>48</v>
      </c>
      <c r="C10" s="26">
        <v>32</v>
      </c>
      <c r="D10" s="26">
        <v>65</v>
      </c>
      <c r="E10" s="26">
        <v>49</v>
      </c>
    </row>
    <row r="11" spans="1:5">
      <c r="A11" s="25">
        <v>36426</v>
      </c>
      <c r="B11" s="26">
        <v>74</v>
      </c>
      <c r="C11" s="26">
        <v>42</v>
      </c>
      <c r="D11" s="26">
        <v>23</v>
      </c>
      <c r="E11" s="26">
        <v>47</v>
      </c>
    </row>
    <row r="12" spans="1:5">
      <c r="A12" s="25">
        <v>36427</v>
      </c>
      <c r="B12" s="26">
        <v>52</v>
      </c>
      <c r="C12" s="26">
        <v>69</v>
      </c>
      <c r="D12" s="26">
        <v>56</v>
      </c>
      <c r="E12" s="26">
        <v>52</v>
      </c>
    </row>
    <row r="13" spans="1:5">
      <c r="A13" s="25">
        <v>36428</v>
      </c>
      <c r="B13" s="26">
        <v>75</v>
      </c>
      <c r="C13" s="26">
        <v>46</v>
      </c>
      <c r="D13" s="26">
        <v>63</v>
      </c>
      <c r="E13" s="26">
        <v>63</v>
      </c>
    </row>
    <row r="14" spans="1:5">
      <c r="A14" s="25">
        <v>36429</v>
      </c>
      <c r="B14" s="26">
        <v>45</v>
      </c>
      <c r="C14" s="26">
        <v>45</v>
      </c>
      <c r="D14" s="26">
        <v>58</v>
      </c>
      <c r="E14" s="26">
        <v>56</v>
      </c>
    </row>
    <row r="15" spans="1:5">
      <c r="A15" s="25">
        <v>36430</v>
      </c>
      <c r="B15" s="26">
        <v>46</v>
      </c>
      <c r="C15" s="26">
        <v>58</v>
      </c>
      <c r="D15" s="26">
        <v>53</v>
      </c>
      <c r="E15" s="26">
        <v>48</v>
      </c>
    </row>
    <row r="16" spans="1:5">
      <c r="A16" s="25">
        <v>36431</v>
      </c>
      <c r="B16" s="26">
        <v>56</v>
      </c>
      <c r="C16" s="26">
        <v>65</v>
      </c>
      <c r="D16" s="26">
        <v>56</v>
      </c>
      <c r="E16" s="26">
        <v>59</v>
      </c>
    </row>
    <row r="17" spans="1:5">
      <c r="A17" s="25">
        <v>36432</v>
      </c>
      <c r="B17" s="26">
        <v>63</v>
      </c>
      <c r="C17" s="26">
        <v>75</v>
      </c>
      <c r="D17" s="26">
        <v>52</v>
      </c>
      <c r="E17" s="26">
        <v>63</v>
      </c>
    </row>
    <row r="18" ht="13.25" spans="1:5">
      <c r="A18" s="27">
        <v>36433</v>
      </c>
      <c r="B18" s="26">
        <v>56</v>
      </c>
      <c r="C18" s="26">
        <v>28</v>
      </c>
      <c r="D18" s="26">
        <v>56</v>
      </c>
      <c r="E18" s="26">
        <v>54</v>
      </c>
    </row>
    <row r="19" ht="13.25"/>
  </sheetData>
  <mergeCells count="2">
    <mergeCell ref="B1:E1"/>
    <mergeCell ref="A1:A2"/>
  </mergeCells>
  <conditionalFormatting sqref="B3:E18">
    <cfRule type="cellIs" dxfId="0" priority="1" operator="greaterThan">
      <formula>60</formula>
    </cfRule>
    <cfRule type="cellIs" dxfId="1" priority="2" operator="lessThan">
      <formula>40</formula>
    </cfRule>
  </conditionalFormatting>
  <pageMargins left="0.7875" right="0.7875" top="0.7875" bottom="0.7875" header="0.39375" footer="0.39375"/>
  <pageSetup paperSize="9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4:H34"/>
  <sheetViews>
    <sheetView workbookViewId="0">
      <selection activeCell="J21" sqref="J21"/>
    </sheetView>
  </sheetViews>
  <sheetFormatPr defaultColWidth="10" defaultRowHeight="12.5" outlineLevelCol="7"/>
  <cols>
    <col min="2" max="2" width="12.0272727272727" customWidth="1"/>
  </cols>
  <sheetData>
    <row r="14" ht="13" spans="2:6">
      <c r="B14" s="14" t="s">
        <v>5</v>
      </c>
      <c r="C14" s="15">
        <v>0</v>
      </c>
      <c r="D14" s="15">
        <v>0.675</v>
      </c>
      <c r="E14" s="15">
        <v>0.9</v>
      </c>
      <c r="F14" s="15">
        <v>0.675</v>
      </c>
    </row>
    <row r="15" ht="13" spans="2:6">
      <c r="B15" s="16">
        <v>5</v>
      </c>
      <c r="C15" s="3">
        <f t="shared" ref="C15:C34" si="0">$H$18*$B15*(1-C$14)</f>
        <v>40</v>
      </c>
      <c r="D15" s="3">
        <f t="shared" ref="D15:D34" si="1">$H$18*$B15*(1-D$14)</f>
        <v>13</v>
      </c>
      <c r="E15" s="3">
        <f t="shared" ref="E15:E34" si="2">$H$18*$B15*(1-E$14)</f>
        <v>4</v>
      </c>
      <c r="F15" s="3">
        <f t="shared" ref="F15:F34" si="3">$H$18*$B15*(1-F$14)</f>
        <v>13</v>
      </c>
    </row>
    <row r="16" ht="13" spans="2:6">
      <c r="B16" s="16">
        <v>10</v>
      </c>
      <c r="C16" s="3">
        <f t="shared" si="0"/>
        <v>80</v>
      </c>
      <c r="D16" s="3">
        <f t="shared" si="1"/>
        <v>26</v>
      </c>
      <c r="E16" s="3">
        <f t="shared" si="2"/>
        <v>8</v>
      </c>
      <c r="F16" s="3">
        <f t="shared" si="3"/>
        <v>26</v>
      </c>
    </row>
    <row r="17" ht="13" spans="2:8">
      <c r="B17" s="16">
        <v>15</v>
      </c>
      <c r="C17" s="3">
        <f t="shared" si="0"/>
        <v>120</v>
      </c>
      <c r="D17" s="3">
        <f t="shared" si="1"/>
        <v>39</v>
      </c>
      <c r="E17" s="3">
        <f t="shared" si="2"/>
        <v>12</v>
      </c>
      <c r="F17" s="3">
        <f t="shared" si="3"/>
        <v>39</v>
      </c>
      <c r="H17" s="17" t="s">
        <v>6</v>
      </c>
    </row>
    <row r="18" ht="13" spans="2:8">
      <c r="B18" s="16">
        <v>20</v>
      </c>
      <c r="C18" s="3">
        <f t="shared" si="0"/>
        <v>160</v>
      </c>
      <c r="D18" s="3">
        <f t="shared" si="1"/>
        <v>52</v>
      </c>
      <c r="E18" s="3">
        <f t="shared" si="2"/>
        <v>16</v>
      </c>
      <c r="F18" s="3">
        <f t="shared" si="3"/>
        <v>52</v>
      </c>
      <c r="H18" s="3">
        <v>8</v>
      </c>
    </row>
    <row r="19" ht="13" spans="2:6">
      <c r="B19" s="16">
        <v>25</v>
      </c>
      <c r="C19" s="3">
        <f t="shared" si="0"/>
        <v>200</v>
      </c>
      <c r="D19" s="3">
        <f t="shared" si="1"/>
        <v>65</v>
      </c>
      <c r="E19" s="3">
        <f t="shared" si="2"/>
        <v>20</v>
      </c>
      <c r="F19" s="3">
        <f t="shared" si="3"/>
        <v>65</v>
      </c>
    </row>
    <row r="20" ht="13" spans="2:6">
      <c r="B20" s="16">
        <v>30</v>
      </c>
      <c r="C20" s="3">
        <f t="shared" si="0"/>
        <v>240</v>
      </c>
      <c r="D20" s="3">
        <f t="shared" si="1"/>
        <v>78</v>
      </c>
      <c r="E20" s="3">
        <f t="shared" si="2"/>
        <v>24</v>
      </c>
      <c r="F20" s="3">
        <f t="shared" si="3"/>
        <v>78</v>
      </c>
    </row>
    <row r="21" ht="13" spans="2:6">
      <c r="B21" s="16">
        <v>35</v>
      </c>
      <c r="C21" s="3">
        <f t="shared" si="0"/>
        <v>280</v>
      </c>
      <c r="D21" s="3">
        <f t="shared" si="1"/>
        <v>91</v>
      </c>
      <c r="E21" s="3">
        <f t="shared" si="2"/>
        <v>28</v>
      </c>
      <c r="F21" s="3">
        <f t="shared" si="3"/>
        <v>91</v>
      </c>
    </row>
    <row r="22" ht="13" spans="2:6">
      <c r="B22" s="16">
        <v>40</v>
      </c>
      <c r="C22" s="3">
        <f t="shared" si="0"/>
        <v>320</v>
      </c>
      <c r="D22" s="3">
        <f t="shared" si="1"/>
        <v>104</v>
      </c>
      <c r="E22" s="3">
        <f t="shared" si="2"/>
        <v>32</v>
      </c>
      <c r="F22" s="3">
        <f t="shared" si="3"/>
        <v>104</v>
      </c>
    </row>
    <row r="23" ht="13" spans="2:6">
      <c r="B23" s="16">
        <v>45</v>
      </c>
      <c r="C23" s="3">
        <f t="shared" si="0"/>
        <v>360</v>
      </c>
      <c r="D23" s="3">
        <f t="shared" si="1"/>
        <v>117</v>
      </c>
      <c r="E23" s="3">
        <f t="shared" si="2"/>
        <v>36</v>
      </c>
      <c r="F23" s="3">
        <f t="shared" si="3"/>
        <v>117</v>
      </c>
    </row>
    <row r="24" ht="13" spans="2:6">
      <c r="B24" s="16">
        <v>50</v>
      </c>
      <c r="C24" s="3">
        <f t="shared" si="0"/>
        <v>400</v>
      </c>
      <c r="D24" s="3">
        <f t="shared" si="1"/>
        <v>130</v>
      </c>
      <c r="E24" s="3">
        <f t="shared" si="2"/>
        <v>40</v>
      </c>
      <c r="F24" s="3">
        <f t="shared" si="3"/>
        <v>130</v>
      </c>
    </row>
    <row r="25" ht="13" spans="2:6">
      <c r="B25" s="16">
        <v>55</v>
      </c>
      <c r="C25" s="3">
        <f t="shared" si="0"/>
        <v>440</v>
      </c>
      <c r="D25" s="3">
        <f t="shared" si="1"/>
        <v>143</v>
      </c>
      <c r="E25" s="3">
        <f t="shared" si="2"/>
        <v>44</v>
      </c>
      <c r="F25" s="3">
        <f t="shared" si="3"/>
        <v>143</v>
      </c>
    </row>
    <row r="26" ht="13" spans="2:6">
      <c r="B26" s="16">
        <v>60</v>
      </c>
      <c r="C26" s="3">
        <f t="shared" si="0"/>
        <v>480</v>
      </c>
      <c r="D26" s="3">
        <f t="shared" si="1"/>
        <v>156</v>
      </c>
      <c r="E26" s="3">
        <f t="shared" si="2"/>
        <v>48</v>
      </c>
      <c r="F26" s="3">
        <f t="shared" si="3"/>
        <v>156</v>
      </c>
    </row>
    <row r="27" ht="13" spans="2:6">
      <c r="B27" s="16">
        <v>65</v>
      </c>
      <c r="C27" s="3">
        <f t="shared" si="0"/>
        <v>520</v>
      </c>
      <c r="D27" s="3">
        <f t="shared" si="1"/>
        <v>169</v>
      </c>
      <c r="E27" s="3">
        <f t="shared" si="2"/>
        <v>52</v>
      </c>
      <c r="F27" s="3">
        <f t="shared" si="3"/>
        <v>169</v>
      </c>
    </row>
    <row r="28" ht="13" spans="2:6">
      <c r="B28" s="16">
        <v>70</v>
      </c>
      <c r="C28" s="3">
        <f t="shared" si="0"/>
        <v>560</v>
      </c>
      <c r="D28" s="3">
        <f t="shared" si="1"/>
        <v>182</v>
      </c>
      <c r="E28" s="3">
        <f t="shared" si="2"/>
        <v>56</v>
      </c>
      <c r="F28" s="3">
        <f t="shared" si="3"/>
        <v>182</v>
      </c>
    </row>
    <row r="29" ht="13" spans="2:6">
      <c r="B29" s="16">
        <v>75</v>
      </c>
      <c r="C29" s="3">
        <f t="shared" si="0"/>
        <v>600</v>
      </c>
      <c r="D29" s="3">
        <f t="shared" si="1"/>
        <v>195</v>
      </c>
      <c r="E29" s="3">
        <f t="shared" si="2"/>
        <v>60</v>
      </c>
      <c r="F29" s="3">
        <f t="shared" si="3"/>
        <v>195</v>
      </c>
    </row>
    <row r="30" ht="13" spans="2:6">
      <c r="B30" s="16">
        <v>80</v>
      </c>
      <c r="C30" s="3">
        <f t="shared" si="0"/>
        <v>640</v>
      </c>
      <c r="D30" s="3">
        <f t="shared" si="1"/>
        <v>208</v>
      </c>
      <c r="E30" s="3">
        <f t="shared" si="2"/>
        <v>64</v>
      </c>
      <c r="F30" s="3">
        <f t="shared" si="3"/>
        <v>208</v>
      </c>
    </row>
    <row r="31" ht="13" spans="2:6">
      <c r="B31" s="16">
        <v>85</v>
      </c>
      <c r="C31" s="3">
        <f t="shared" si="0"/>
        <v>680</v>
      </c>
      <c r="D31" s="3">
        <f t="shared" si="1"/>
        <v>221</v>
      </c>
      <c r="E31" s="3">
        <f t="shared" si="2"/>
        <v>68</v>
      </c>
      <c r="F31" s="3">
        <f t="shared" si="3"/>
        <v>221</v>
      </c>
    </row>
    <row r="32" ht="13" spans="2:6">
      <c r="B32" s="16">
        <v>90</v>
      </c>
      <c r="C32" s="3">
        <f t="shared" si="0"/>
        <v>720</v>
      </c>
      <c r="D32" s="3">
        <f t="shared" si="1"/>
        <v>234</v>
      </c>
      <c r="E32" s="3">
        <f t="shared" si="2"/>
        <v>72</v>
      </c>
      <c r="F32" s="3">
        <f t="shared" si="3"/>
        <v>234</v>
      </c>
    </row>
    <row r="33" ht="13" spans="2:6">
      <c r="B33" s="16">
        <v>95</v>
      </c>
      <c r="C33" s="3">
        <f t="shared" si="0"/>
        <v>760</v>
      </c>
      <c r="D33" s="3">
        <f t="shared" si="1"/>
        <v>247</v>
      </c>
      <c r="E33" s="3">
        <f t="shared" si="2"/>
        <v>76</v>
      </c>
      <c r="F33" s="3">
        <f t="shared" si="3"/>
        <v>247</v>
      </c>
    </row>
    <row r="34" ht="13" spans="2:6">
      <c r="B34" s="16">
        <v>100</v>
      </c>
      <c r="C34" s="3">
        <f t="shared" si="0"/>
        <v>800</v>
      </c>
      <c r="D34" s="3">
        <f t="shared" si="1"/>
        <v>260</v>
      </c>
      <c r="E34" s="3">
        <f t="shared" si="2"/>
        <v>80</v>
      </c>
      <c r="F34" s="3">
        <f t="shared" si="3"/>
        <v>260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J19"/>
  <sheetViews>
    <sheetView workbookViewId="0">
      <selection activeCell="J8" sqref="J8"/>
    </sheetView>
  </sheetViews>
  <sheetFormatPr defaultColWidth="10" defaultRowHeight="12.5"/>
  <cols>
    <col min="1" max="1" width="1.00909090909091" customWidth="1"/>
    <col min="2" max="2" width="13.2454545454545" customWidth="1"/>
    <col min="10" max="10" width="13.5818181818182" customWidth="1"/>
  </cols>
  <sheetData>
    <row r="7" ht="13" spans="2:10">
      <c r="B7" s="1" t="s">
        <v>7</v>
      </c>
      <c r="C7" s="1">
        <v>60</v>
      </c>
      <c r="D7" s="1">
        <v>70</v>
      </c>
      <c r="E7" s="1">
        <v>80</v>
      </c>
      <c r="F7" s="1">
        <v>90</v>
      </c>
      <c r="G7" s="1">
        <v>100</v>
      </c>
      <c r="H7" s="1">
        <v>110</v>
      </c>
      <c r="I7" s="1">
        <v>120</v>
      </c>
      <c r="J7" s="1" t="s">
        <v>8</v>
      </c>
    </row>
    <row r="8" spans="2:10">
      <c r="B8" s="2" t="s">
        <v>9</v>
      </c>
      <c r="C8" s="3">
        <f ca="1" t="shared" ref="C8:I8" si="0">RANDBETWEEN(150,800)</f>
        <v>292</v>
      </c>
      <c r="D8" s="3">
        <f ca="1" t="shared" si="0"/>
        <v>155</v>
      </c>
      <c r="E8" s="3">
        <f ca="1" t="shared" si="0"/>
        <v>747</v>
      </c>
      <c r="F8" s="3">
        <f ca="1" t="shared" si="0"/>
        <v>212</v>
      </c>
      <c r="G8" s="3">
        <f ca="1" t="shared" si="0"/>
        <v>800</v>
      </c>
      <c r="H8" s="3">
        <f ca="1" t="shared" si="0"/>
        <v>539</v>
      </c>
      <c r="I8" s="3">
        <f ca="1" t="shared" si="0"/>
        <v>583</v>
      </c>
      <c r="J8" s="3" t="str">
        <f ca="1" t="shared" ref="J8:J13" si="1">IF(AVERAGEA(C8:I8)&gt;500,"Eredményes",IF(AVERAGE(C8:I8)&lt;350,"Eredménytelen","Közepes"))</f>
        <v>Közepes</v>
      </c>
    </row>
    <row r="9" spans="2:10">
      <c r="B9" s="2" t="s">
        <v>10</v>
      </c>
      <c r="C9" s="3">
        <f ca="1" t="shared" ref="C9:I9" si="2">RANDBETWEEN(150,800)</f>
        <v>261</v>
      </c>
      <c r="D9" s="3">
        <f ca="1" t="shared" si="2"/>
        <v>272</v>
      </c>
      <c r="E9" s="3">
        <f ca="1" t="shared" si="2"/>
        <v>474</v>
      </c>
      <c r="F9" s="3">
        <f ca="1" t="shared" si="2"/>
        <v>779</v>
      </c>
      <c r="G9" s="3">
        <f ca="1" t="shared" si="2"/>
        <v>369</v>
      </c>
      <c r="H9" s="3">
        <f ca="1" t="shared" si="2"/>
        <v>735</v>
      </c>
      <c r="I9" s="3">
        <f ca="1" t="shared" si="2"/>
        <v>206</v>
      </c>
      <c r="J9" s="3" t="str">
        <f ca="1" t="shared" si="1"/>
        <v>Közepes</v>
      </c>
    </row>
    <row r="10" spans="2:10">
      <c r="B10" s="2" t="s">
        <v>11</v>
      </c>
      <c r="C10" s="3">
        <f ca="1" t="shared" ref="C10:I10" si="3">RANDBETWEEN(150,800)</f>
        <v>530</v>
      </c>
      <c r="D10" s="3">
        <f ca="1" t="shared" si="3"/>
        <v>494</v>
      </c>
      <c r="E10" s="3">
        <f ca="1" t="shared" si="3"/>
        <v>726</v>
      </c>
      <c r="F10" s="3">
        <f ca="1" t="shared" si="3"/>
        <v>260</v>
      </c>
      <c r="G10" s="3">
        <f ca="1" t="shared" si="3"/>
        <v>257</v>
      </c>
      <c r="H10" s="3">
        <f ca="1" t="shared" si="3"/>
        <v>551</v>
      </c>
      <c r="I10" s="3">
        <f ca="1" t="shared" si="3"/>
        <v>529</v>
      </c>
      <c r="J10" s="3" t="str">
        <f ca="1" t="shared" si="1"/>
        <v>Közepes</v>
      </c>
    </row>
    <row r="11" spans="2:10">
      <c r="B11" s="2" t="s">
        <v>12</v>
      </c>
      <c r="C11" s="3">
        <f ca="1" t="shared" ref="C11:I11" si="4">RANDBETWEEN(150,800)</f>
        <v>160</v>
      </c>
      <c r="D11" s="3">
        <f ca="1" t="shared" si="4"/>
        <v>427</v>
      </c>
      <c r="E11" s="3">
        <f ca="1" t="shared" si="4"/>
        <v>752</v>
      </c>
      <c r="F11" s="3">
        <f ca="1" t="shared" si="4"/>
        <v>570</v>
      </c>
      <c r="G11" s="3">
        <f ca="1" t="shared" si="4"/>
        <v>434</v>
      </c>
      <c r="H11" s="3">
        <f ca="1" t="shared" si="4"/>
        <v>380</v>
      </c>
      <c r="I11" s="3">
        <f ca="1" t="shared" si="4"/>
        <v>222</v>
      </c>
      <c r="J11" s="3" t="str">
        <f ca="1" t="shared" si="1"/>
        <v>Közepes</v>
      </c>
    </row>
    <row r="12" spans="2:10">
      <c r="B12" s="2" t="s">
        <v>13</v>
      </c>
      <c r="C12" s="3">
        <f ca="1" t="shared" ref="C12:I12" si="5">RANDBETWEEN(150,800)</f>
        <v>151</v>
      </c>
      <c r="D12" s="3">
        <f ca="1" t="shared" si="5"/>
        <v>717</v>
      </c>
      <c r="E12" s="3">
        <f ca="1" t="shared" si="5"/>
        <v>317</v>
      </c>
      <c r="F12" s="3">
        <f ca="1" t="shared" si="5"/>
        <v>741</v>
      </c>
      <c r="G12" s="3">
        <f ca="1" t="shared" si="5"/>
        <v>739</v>
      </c>
      <c r="H12" s="3">
        <f ca="1" t="shared" si="5"/>
        <v>518</v>
      </c>
      <c r="I12" s="3">
        <f ca="1" t="shared" si="5"/>
        <v>184</v>
      </c>
      <c r="J12" s="3" t="str">
        <f ca="1" t="shared" si="1"/>
        <v>Közepes</v>
      </c>
    </row>
    <row r="13" ht="13.25" spans="2:10">
      <c r="B13" s="4" t="s">
        <v>14</v>
      </c>
      <c r="C13" s="3">
        <f ca="1" t="shared" ref="C13:I13" si="6">RANDBETWEEN(150,800)</f>
        <v>457</v>
      </c>
      <c r="D13" s="3">
        <f ca="1" t="shared" si="6"/>
        <v>639</v>
      </c>
      <c r="E13" s="3">
        <f ca="1" t="shared" si="6"/>
        <v>441</v>
      </c>
      <c r="F13" s="3">
        <f ca="1" t="shared" si="6"/>
        <v>241</v>
      </c>
      <c r="G13" s="3">
        <f ca="1" t="shared" si="6"/>
        <v>705</v>
      </c>
      <c r="H13" s="3">
        <f ca="1" t="shared" si="6"/>
        <v>532</v>
      </c>
      <c r="I13" s="3">
        <f ca="1" t="shared" si="6"/>
        <v>289</v>
      </c>
      <c r="J13" s="3" t="str">
        <f ca="1" t="shared" si="1"/>
        <v>Közepes</v>
      </c>
    </row>
    <row r="14" ht="13.75" spans="2:10">
      <c r="B14" s="5" t="s">
        <v>15</v>
      </c>
      <c r="C14" s="6">
        <f ca="1" t="shared" ref="C14:I14" si="7">MIN(C8:C13)</f>
        <v>151</v>
      </c>
      <c r="D14" s="6">
        <f ca="1" t="shared" si="7"/>
        <v>155</v>
      </c>
      <c r="E14" s="6">
        <f ca="1" t="shared" si="7"/>
        <v>317</v>
      </c>
      <c r="F14" s="6">
        <f ca="1" t="shared" si="7"/>
        <v>212</v>
      </c>
      <c r="G14" s="6">
        <f ca="1" t="shared" si="7"/>
        <v>257</v>
      </c>
      <c r="H14" s="6">
        <f ca="1" t="shared" si="7"/>
        <v>380</v>
      </c>
      <c r="I14" s="6">
        <f ca="1" t="shared" si="7"/>
        <v>184</v>
      </c>
      <c r="J14" s="13"/>
    </row>
    <row r="15" ht="13" spans="2:10">
      <c r="B15" s="7" t="s">
        <v>16</v>
      </c>
      <c r="C15" s="8">
        <f ca="1" t="shared" ref="C15:I15" si="8">MAX(C8:C13)</f>
        <v>530</v>
      </c>
      <c r="D15" s="8">
        <f ca="1" t="shared" si="8"/>
        <v>717</v>
      </c>
      <c r="E15" s="8">
        <f ca="1" t="shared" si="8"/>
        <v>752</v>
      </c>
      <c r="F15" s="8">
        <f ca="1" t="shared" si="8"/>
        <v>779</v>
      </c>
      <c r="G15" s="8">
        <f ca="1" t="shared" si="8"/>
        <v>800</v>
      </c>
      <c r="H15" s="8">
        <f ca="1" t="shared" si="8"/>
        <v>735</v>
      </c>
      <c r="I15" s="8">
        <f ca="1" t="shared" si="8"/>
        <v>583</v>
      </c>
      <c r="J15" s="13"/>
    </row>
    <row r="16" ht="13" spans="2:10">
      <c r="B16" s="9" t="s">
        <v>17</v>
      </c>
      <c r="C16" s="10">
        <f ca="1" t="shared" ref="C16:I16" si="9">AVERAGE(C8:C13)</f>
        <v>308.5</v>
      </c>
      <c r="D16" s="10">
        <f ca="1" t="shared" si="9"/>
        <v>450.666666666667</v>
      </c>
      <c r="E16" s="10">
        <f ca="1" t="shared" si="9"/>
        <v>576.166666666667</v>
      </c>
      <c r="F16" s="10">
        <f ca="1" t="shared" si="9"/>
        <v>467.166666666667</v>
      </c>
      <c r="G16" s="10">
        <f ca="1" t="shared" si="9"/>
        <v>550.666666666667</v>
      </c>
      <c r="H16" s="10">
        <f ca="1" t="shared" si="9"/>
        <v>542.5</v>
      </c>
      <c r="I16" s="10">
        <f ca="1" t="shared" si="9"/>
        <v>335.5</v>
      </c>
      <c r="J16" s="13"/>
    </row>
    <row r="18" spans="2:9">
      <c r="B18" s="11" t="s">
        <v>18</v>
      </c>
      <c r="C18" s="11"/>
      <c r="D18" s="11"/>
      <c r="E18" s="11"/>
      <c r="F18" s="11"/>
      <c r="G18" s="11"/>
      <c r="H18" s="11"/>
      <c r="I18" s="11"/>
    </row>
    <row r="19" spans="3:9">
      <c r="C19" s="12">
        <f ca="1" t="shared" ref="C19:I19" si="10">SUM(C$11+C$10)</f>
        <v>690</v>
      </c>
      <c r="D19" s="12">
        <f ca="1" t="shared" si="10"/>
        <v>921</v>
      </c>
      <c r="E19" s="12">
        <f ca="1" t="shared" si="10"/>
        <v>1478</v>
      </c>
      <c r="F19" s="12">
        <f ca="1" t="shared" si="10"/>
        <v>830</v>
      </c>
      <c r="G19" s="12">
        <f ca="1" t="shared" si="10"/>
        <v>691</v>
      </c>
      <c r="H19" s="12">
        <f ca="1" t="shared" si="10"/>
        <v>931</v>
      </c>
      <c r="I19" s="12">
        <f ca="1" t="shared" si="10"/>
        <v>751</v>
      </c>
    </row>
  </sheetData>
  <mergeCells count="1">
    <mergeCell ref="B18:I18"/>
  </mergeCells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Munkalap1</vt:lpstr>
      <vt:lpstr>Munkalap2</vt:lpstr>
      <vt:lpstr>Munkalap3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Titanilla Jánk</cp:lastModifiedBy>
  <cp:revision>0</cp:revision>
  <dcterms:created xsi:type="dcterms:W3CDTF">2025-10-07T06:27:00Z</dcterms:created>
  <dcterms:modified xsi:type="dcterms:W3CDTF">2026-02-21T09:04:23Z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A40BEAC3535C4ABB8EEBB52065475A73_12</vt:lpwstr>
  </property>
  <property fmtid="{D5CDD505-2E9C-101B-9397-08002B2CF9AE}" pid="3" name="KSOProductBuildVer">
    <vt:lpwstr>1033-12.2.0.22549</vt:lpwstr>
  </property>
</Properties>
</file>